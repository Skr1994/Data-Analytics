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41F3084B-04B1-4EDF-8640-D38F93380CEC}" xr6:coauthVersionLast="47" xr6:coauthVersionMax="47" xr10:uidLastSave="{00000000-0000-0000-0000-000000000000}"/>
  <bookViews>
    <workbookView xWindow="240" yWindow="105" windowWidth="14805" windowHeight="8010" firstSheet="2" activeTab="7" xr2:uid="{00000000-000D-0000-FFFF-FFFF00000000}"/>
  </bookViews>
  <sheets>
    <sheet name="Instructions" sheetId="1" r:id="rId1"/>
    <sheet name="Dataset" sheetId="2" r:id="rId2"/>
    <sheet name="Missing Values &amp; Inconsistant" sheetId="3" r:id="rId3"/>
    <sheet name="Highlight Duplicates" sheetId="4" r:id="rId4"/>
    <sheet name="Removed Duplicate" sheetId="5" r:id="rId5"/>
    <sheet name="Splitting and Merging Data" sheetId="6" r:id="rId6"/>
    <sheet name="Number Formatting" sheetId="7" r:id="rId7"/>
    <sheet name=" Conditional Formatting" sheetId="8" r:id="rId8"/>
  </sheets>
  <definedNames>
    <definedName name="_xlnm._FilterDatabase" localSheetId="1" hidden="1">Dataset!$A$1:$P$1</definedName>
    <definedName name="_xlnm._FilterDatabase" localSheetId="3" hidden="1">'Highlight Duplicates'!$A$1:$P$1</definedName>
    <definedName name="_xlnm._FilterDatabase" localSheetId="2" hidden="1">'Missing Values &amp; Inconsistant'!$A$1:$P$1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6" l="1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" i="6"/>
  <c r="P2" i="3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K3" i="6"/>
  <c r="J3" i="6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Q2" i="3"/>
  <c r="O7" i="3"/>
  <c r="O3" i="3"/>
  <c r="O4" i="3"/>
  <c r="O5" i="3"/>
  <c r="O6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2" i="3"/>
  <c r="M13" i="3"/>
  <c r="M3" i="3"/>
  <c r="M4" i="3"/>
  <c r="M5" i="3"/>
  <c r="M6" i="3"/>
  <c r="M7" i="3"/>
  <c r="M8" i="3"/>
  <c r="M9" i="3"/>
  <c r="M10" i="3"/>
  <c r="M11" i="3"/>
  <c r="M12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2" i="3"/>
  <c r="K3" i="3" a="1"/>
  <c r="K3" i="3"/>
  <c r="I2" i="3"/>
  <c r="H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<sst xmlns="http://schemas.openxmlformats.org/spreadsheetml/2006/main" count="1033" uniqueCount="129">
  <si>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</si>
  <si>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</si>
  <si>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</si>
  <si>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</si>
  <si>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</si>
  <si>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</si>
  <si>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</si>
  <si>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</si>
  <si>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</si>
  <si>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</si>
  <si>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</si>
  <si>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</si>
  <si>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</si>
  <si>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</si>
  <si>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</si>
  <si>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</si>
  <si>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</si>
  <si>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</si>
  <si>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</si>
  <si>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</si>
  <si>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</si>
  <si>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</si>
  <si>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</si>
  <si>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</si>
  <si>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</si>
  <si>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</si>
  <si>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</si>
  <si>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</si>
  <si>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</si>
  <si>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</si>
  <si>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</si>
  <si>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</si>
  <si>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</si>
  <si>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</si>
  <si>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</si>
  <si>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</si>
  <si>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</si>
  <si>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</si>
  <si>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</si>
  <si>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</si>
  <si>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</si>
  <si>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</si>
  <si>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</si>
  <si>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</si>
  <si>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</si>
  <si>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</si>
  <si>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</si>
  <si>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</si>
  <si>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</si>
  <si>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</si>
  <si>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</si>
  <si>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</si>
  <si>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</si>
  <si>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</si>
  <si>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</si>
  <si>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</si>
  <si>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</si>
  <si>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</si>
  <si>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</si>
  <si>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</si>
  <si>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</si>
  <si>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</si>
  <si>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</si>
  <si>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</si>
  <si>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 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</si>
  <si>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</si>
  <si>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</si>
  <si>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</si>
  <si>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</si>
  <si>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</si>
  <si>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</si>
  <si>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</si>
  <si>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</si>
  <si>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</si>
  <si>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</si>
  <si>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</si>
  <si>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</si>
  <si>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</si>
  <si>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</si>
  <si>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</si>
  <si>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</si>
  <si>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</si>
  <si>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</si>
  <si>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</si>
  <si>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</si>
  <si>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</si>
  <si>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</si>
  <si>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</si>
  <si>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</si>
  <si>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</si>
  <si>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</si>
  <si>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</si>
  <si>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</si>
  <si>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</si>
  <si>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</si>
  <si>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</si>
  <si>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</si>
  <si>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</si>
  <si>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</si>
  <si>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</si>
  <si>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</si>
  <si>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</si>
  <si>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</si>
  <si>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</si>
  <si>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</si>
  <si>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</si>
  <si>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</si>
  <si>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</si>
  <si>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</si>
  <si>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</si>
  <si>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</si>
  <si>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</si>
  <si>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</si>
  <si>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</si>
  <si>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</si>
  <si>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</si>
  <si>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</si>
  <si>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Blank Column</t>
  </si>
  <si>
    <t>Average</t>
  </si>
  <si>
    <t>Category Missing Cells</t>
  </si>
  <si>
    <t>Filling Missing Categories</t>
  </si>
  <si>
    <t>Inconsistant to Proper</t>
  </si>
  <si>
    <t>Typo</t>
  </si>
  <si>
    <t>Correction</t>
  </si>
  <si>
    <t>Price ($)</t>
  </si>
  <si>
    <t>Done Via Data Tab and Removed duplicate</t>
  </si>
  <si>
    <t>• Split the "Product ID" column into two separate columns for " Manufacturing Date" and "Country Code</t>
  </si>
  <si>
    <t>Merge the "Brand Name" and "Product Name" columns into one column named "Product Brand".</t>
  </si>
  <si>
    <t>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</si>
</sst>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m/d/yy;@"/>
  </numFmts>
  <fonts count="8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0"/>
      <color rgb="FF000000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1"/>
      <color rgb="FF000000"/>
      <name val="Calibri"/>
    </font>
    <font>
      <sz val="11"/>
      <color rgb="FF000000"/>
      <name val="Times New Roman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Alignment="1"/>
    <xf numFmtId="0" fontId="4" fillId="0" borderId="0" xfId="0" applyFont="1" applyFill="1" applyBorder="1" applyAlignment="1"/>
    <xf numFmtId="0" fontId="4" fillId="0" borderId="0" xfId="0" applyFont="1" applyFill="1" applyAlignment="1"/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7" fillId="2" borderId="0" xfId="0" applyFont="1" applyFill="1" applyBorder="1" applyAlignment="1"/>
    <xf numFmtId="0" fontId="2" fillId="3" borderId="0" xfId="0" applyFont="1" applyFill="1" applyBorder="1" applyAlignment="1"/>
    <xf numFmtId="2" fontId="2" fillId="0" borderId="0" xfId="0" applyNumberFormat="1" applyFont="1" applyFill="1" applyBorder="1" applyAlignment="1"/>
    <xf numFmtId="2" fontId="2" fillId="3" borderId="0" xfId="0" applyNumberFormat="1" applyFont="1" applyFill="1" applyBorder="1" applyAlignment="1"/>
    <xf numFmtId="2" fontId="7" fillId="2" borderId="0" xfId="0" applyNumberFormat="1" applyFont="1" applyFill="1" applyBorder="1" applyAlignment="1"/>
    <xf numFmtId="0" fontId="7" fillId="2" borderId="0" xfId="0" applyFont="1" applyFill="1" applyBorder="1" applyAlignment="1">
      <alignment wrapText="1"/>
    </xf>
    <xf numFmtId="0" fontId="0" fillId="0" borderId="0" xfId="0" applyAlignment="1">
      <alignment wrapText="1"/>
    </xf>
    <xf numFmtId="164" fontId="7" fillId="2" borderId="0" xfId="0" applyNumberFormat="1" applyFont="1" applyFill="1" applyBorder="1" applyAlignment="1"/>
    <xf numFmtId="164" fontId="2" fillId="0" borderId="0" xfId="0" applyNumberFormat="1" applyFont="1" applyFill="1" applyBorder="1" applyAlignment="1"/>
    <xf numFmtId="164" fontId="2" fillId="3" borderId="0" xfId="0" applyNumberFormat="1" applyFont="1" applyFill="1" applyBorder="1" applyAlignment="1"/>
    <xf numFmtId="164" fontId="0" fillId="0" borderId="0" xfId="0" applyNumberFormat="1"/>
    <xf numFmtId="166" fontId="7" fillId="2" borderId="0" xfId="0" applyNumberFormat="1" applyFont="1" applyFill="1" applyBorder="1" applyAlignment="1"/>
    <xf numFmtId="166" fontId="2" fillId="0" borderId="0" xfId="0" applyNumberFormat="1" applyFont="1" applyFill="1" applyBorder="1" applyAlignment="1"/>
    <xf numFmtId="166" fontId="2" fillId="3" borderId="0" xfId="0" applyNumberFormat="1" applyFont="1" applyFill="1" applyBorder="1" applyAlignment="1"/>
    <xf numFmtId="166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6B3CD-2A37-42DE-8764-6613B94ADCAF}" name="Table1" displayName="Table1" ref="A1:F35" totalsRowShown="0">
  <autoFilter ref="A1:F35" xr:uid="{EAF6B3CD-2A37-42DE-8764-6613B94ADCAF}"/>
  <tableColumns count="6">
    <tableColumn id="1" xr3:uid="{E782B64E-42B4-4E81-BDEA-9B1C926E541C}" name="Product ID"/>
    <tableColumn id="2" xr3:uid="{856D0096-772E-4A20-8064-258F78B2FEE1}" name="Product Name"/>
    <tableColumn id="3" xr3:uid="{94D0CAA8-E490-4FBF-A005-237D27AFC0A5}" name="Brand Name"/>
    <tableColumn id="4" xr3:uid="{8A617A40-430A-481D-A2FD-38D5769150BA}" name="Price($)"/>
    <tableColumn id="5" xr3:uid="{45CF3474-B2EA-4D13-8BD3-4BEE677B18B8}" name="Quantity"/>
    <tableColumn id="6" xr3:uid="{6DFE4755-C5A0-4EC8-9FFD-9AE5A88CB343}" name="Category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C5" sqref="C5"/>
    </sheetView>
  </sheetViews>
  <sheetFormatPr defaultRowHeight="15"/>
  <sheetData>
    <row r="1" spans="1:1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>
      <c r="A3" s="3"/>
      <c r="B3" s="4" t="s">
        <v>1</v>
      </c>
      <c r="C3" s="5"/>
      <c r="D3" s="5"/>
      <c r="E3" s="3"/>
      <c r="F3" s="3"/>
      <c r="G3" s="3"/>
      <c r="H3" s="3"/>
      <c r="I3" s="3"/>
      <c r="J3" s="3"/>
      <c r="K3" s="3"/>
    </row>
    <row r="4" spans="1:11" ht="15.75">
      <c r="A4" s="3"/>
      <c r="B4" s="3"/>
      <c r="C4" s="6" t="s">
        <v>2</v>
      </c>
      <c r="D4" s="7"/>
      <c r="E4" s="7"/>
      <c r="F4" s="7"/>
      <c r="G4" s="7"/>
      <c r="H4" s="7"/>
      <c r="I4" s="7"/>
      <c r="J4" s="7"/>
      <c r="K4" s="3"/>
    </row>
    <row r="5" spans="1:11" ht="15.75">
      <c r="A5" s="3"/>
      <c r="B5" s="8"/>
      <c r="C5" s="6" t="s">
        <v>3</v>
      </c>
      <c r="D5" s="7"/>
      <c r="E5" s="7"/>
      <c r="F5" s="7"/>
      <c r="G5" s="7"/>
      <c r="H5" s="7"/>
      <c r="I5" s="7"/>
      <c r="J5" s="7"/>
      <c r="K5" s="7"/>
    </row>
    <row r="6" spans="1:11">
      <c r="A6" s="3"/>
      <c r="B6" s="8"/>
      <c r="C6" s="3"/>
      <c r="D6" s="3"/>
      <c r="E6" s="3"/>
      <c r="F6" s="3"/>
      <c r="G6" s="3"/>
      <c r="H6" s="3"/>
      <c r="I6" s="3"/>
      <c r="J6" s="3"/>
      <c r="K6" s="3"/>
    </row>
    <row r="7" spans="1:11" ht="15.75">
      <c r="A7" s="3"/>
      <c r="B7" s="4" t="s">
        <v>4</v>
      </c>
      <c r="C7" s="5"/>
      <c r="D7" s="5"/>
      <c r="E7" s="3"/>
      <c r="F7" s="3"/>
      <c r="G7" s="3"/>
      <c r="H7" s="3"/>
      <c r="I7" s="3"/>
      <c r="J7" s="3"/>
      <c r="K7" s="3"/>
    </row>
    <row r="8" spans="1:11" ht="15.75">
      <c r="A8" s="3"/>
      <c r="B8" s="3"/>
      <c r="C8" s="6" t="s">
        <v>5</v>
      </c>
      <c r="D8" s="7"/>
      <c r="E8" s="7"/>
      <c r="F8" s="7"/>
      <c r="G8" s="7"/>
      <c r="H8" s="7"/>
      <c r="I8" s="3"/>
      <c r="J8" s="3"/>
      <c r="K8" s="3"/>
    </row>
    <row r="9" spans="1:11" ht="15.75">
      <c r="A9" s="3"/>
      <c r="B9" s="3"/>
      <c r="C9" s="6" t="s">
        <v>6</v>
      </c>
      <c r="D9" s="7"/>
      <c r="E9" s="7"/>
      <c r="F9" s="7"/>
      <c r="G9" s="3"/>
      <c r="H9" s="3"/>
      <c r="I9" s="3"/>
      <c r="J9" s="3"/>
      <c r="K9" s="3"/>
    </row>
    <row r="10" spans="1:11" ht="15.75">
      <c r="A10" s="3"/>
      <c r="B10" s="3"/>
      <c r="C10" s="6" t="s">
        <v>7</v>
      </c>
      <c r="D10" s="7"/>
      <c r="E10" s="7"/>
      <c r="F10" s="7"/>
      <c r="G10" s="7"/>
      <c r="H10" s="7"/>
      <c r="I10" s="7"/>
      <c r="J10" s="7"/>
      <c r="K10" s="7"/>
    </row>
    <row r="11" spans="1:11">
      <c r="A11" s="3"/>
      <c r="B11" s="8"/>
      <c r="C11" s="3"/>
      <c r="D11" s="3"/>
      <c r="E11" s="3"/>
      <c r="F11" s="3"/>
      <c r="G11" s="3"/>
      <c r="H11" s="3"/>
      <c r="I11" s="3"/>
      <c r="J11" s="3"/>
      <c r="K11" s="3"/>
    </row>
    <row r="12" spans="1:11" ht="15.75">
      <c r="A12" s="3"/>
      <c r="B12" s="4" t="s">
        <v>8</v>
      </c>
      <c r="C12" s="5"/>
      <c r="D12" s="5"/>
      <c r="E12" s="3"/>
      <c r="F12" s="3"/>
      <c r="G12" s="3"/>
      <c r="H12" s="3"/>
      <c r="I12" s="3"/>
      <c r="J12" s="3"/>
      <c r="K12" s="3"/>
    </row>
    <row r="13" spans="1:11" ht="15.75">
      <c r="A13" s="3"/>
      <c r="B13" s="4"/>
      <c r="C13" s="6" t="s">
        <v>9</v>
      </c>
      <c r="D13" s="7"/>
      <c r="E13" s="7"/>
      <c r="F13" s="7"/>
      <c r="G13" s="7"/>
      <c r="H13" s="7"/>
      <c r="I13" s="7"/>
      <c r="J13" s="7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>
      <c r="A15" s="3"/>
      <c r="B15" s="4" t="s">
        <v>10</v>
      </c>
      <c r="C15" s="5"/>
      <c r="D15" s="5"/>
      <c r="E15" s="3"/>
      <c r="F15" s="3"/>
      <c r="G15" s="3"/>
      <c r="H15" s="3"/>
      <c r="I15" s="3"/>
      <c r="J15" s="3"/>
      <c r="K15" s="3"/>
    </row>
    <row r="16" spans="1:11" ht="15.75">
      <c r="A16" s="3"/>
      <c r="B16" s="3"/>
      <c r="C16" s="6" t="s">
        <v>11</v>
      </c>
      <c r="D16" s="7"/>
      <c r="E16" s="7"/>
      <c r="F16" s="7"/>
      <c r="G16" s="7"/>
      <c r="H16" s="7"/>
      <c r="I16" s="7"/>
      <c r="J16" s="7"/>
      <c r="K16" s="7"/>
    </row>
    <row r="17" spans="1:11" ht="15.75">
      <c r="A17" s="3"/>
      <c r="B17" s="3"/>
      <c r="C17" s="6" t="s">
        <v>12</v>
      </c>
      <c r="D17" s="7"/>
      <c r="E17" s="7"/>
      <c r="F17" s="7"/>
      <c r="G17" s="7"/>
      <c r="H17" s="7"/>
      <c r="I17" s="7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>
      <c r="A19" s="3"/>
      <c r="B19" s="4" t="s">
        <v>13</v>
      </c>
      <c r="C19" s="5"/>
      <c r="D19" s="5"/>
      <c r="E19" s="3"/>
      <c r="F19" s="3"/>
      <c r="G19" s="3"/>
      <c r="H19" s="3"/>
      <c r="I19" s="3"/>
      <c r="J19" s="3"/>
      <c r="K19" s="3"/>
    </row>
    <row r="20" spans="1:11" ht="15.75">
      <c r="A20" s="3"/>
      <c r="B20" s="3"/>
      <c r="C20" s="6" t="s">
        <v>14</v>
      </c>
      <c r="D20" s="7"/>
      <c r="E20" s="7"/>
      <c r="F20" s="7"/>
      <c r="G20" s="7"/>
      <c r="H20" s="3"/>
      <c r="I20" s="3"/>
      <c r="J20" s="3"/>
      <c r="K20" s="3"/>
    </row>
    <row r="21" spans="1:11" ht="15.75">
      <c r="A21" s="3"/>
      <c r="B21" s="3"/>
      <c r="C21" s="6" t="s">
        <v>15</v>
      </c>
      <c r="D21" s="7"/>
      <c r="E21" s="7"/>
      <c r="F21" s="7"/>
      <c r="G21" s="7"/>
      <c r="H21" s="7"/>
      <c r="I21" s="7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5.75">
      <c r="A23" s="3"/>
      <c r="B23" s="4" t="s">
        <v>16</v>
      </c>
      <c r="C23" s="5"/>
      <c r="D23" s="5"/>
      <c r="E23" s="3"/>
      <c r="F23" s="3"/>
      <c r="G23" s="3"/>
      <c r="H23" s="3"/>
      <c r="I23" s="3"/>
      <c r="J23" s="3"/>
      <c r="K23" s="3"/>
    </row>
    <row r="24" spans="1:11" ht="15.75">
      <c r="A24" s="3"/>
      <c r="B24" s="3"/>
      <c r="C24" s="6" t="s">
        <v>17</v>
      </c>
      <c r="D24" s="7"/>
      <c r="E24" s="7"/>
      <c r="F24" s="7"/>
      <c r="G24" s="7"/>
      <c r="H24" s="7"/>
      <c r="I24" s="3"/>
      <c r="J24" s="3"/>
      <c r="K24" s="3"/>
    </row>
    <row r="25" spans="1:11" ht="15.75">
      <c r="A25" s="3"/>
      <c r="B25" s="3"/>
      <c r="C25" s="6" t="s">
        <v>18</v>
      </c>
      <c r="D25" s="7"/>
      <c r="E25" s="7"/>
      <c r="F25" s="7"/>
      <c r="G25" s="7"/>
      <c r="H25" s="7"/>
      <c r="I25" s="7"/>
      <c r="J25" s="7"/>
      <c r="K25" s="7"/>
    </row>
    <row r="26" spans="1:11" ht="15.75">
      <c r="A26" s="3"/>
      <c r="B26" s="3"/>
      <c r="C26" s="6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9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spans="1:1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spans="1:1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spans="1:1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94E9-891C-48CF-AAA4-CF15B45568F0}">
  <dimension ref="A1:P1000"/>
  <sheetViews>
    <sheetView workbookViewId="0">
      <selection sqref="A1:F35"/>
    </sheetView>
  </sheetViews>
  <sheetFormatPr defaultRowHeight="15"/>
  <cols>
    <col min="1" max="1" width="11.140625" bestFit="1" customWidth="1"/>
    <col min="2" max="2" width="14.140625" bestFit="1" customWidth="1"/>
    <col min="3" max="3" width="12.140625" bestFit="1" customWidth="1"/>
    <col min="4" max="4" width="8.42578125" bestFit="1" customWidth="1"/>
    <col min="5" max="5" width="8.7109375" bestFit="1" customWidth="1"/>
    <col min="6" max="6" width="11.140625" bestFit="1" customWidth="1"/>
  </cols>
  <sheetData>
    <row r="1" spans="1:16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3" t="s">
        <v>25</v>
      </c>
      <c r="B2" s="3" t="s">
        <v>26</v>
      </c>
      <c r="C2" s="3" t="s">
        <v>27</v>
      </c>
      <c r="D2" s="12">
        <v>1000</v>
      </c>
      <c r="E2" s="3">
        <v>30</v>
      </c>
      <c r="F2" s="3" t="s">
        <v>28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5.75">
      <c r="A3" s="11" t="s">
        <v>29</v>
      </c>
      <c r="B3" s="11" t="s">
        <v>30</v>
      </c>
      <c r="C3" s="11" t="s">
        <v>31</v>
      </c>
      <c r="D3" s="13">
        <v>80</v>
      </c>
      <c r="E3" s="11">
        <v>15</v>
      </c>
      <c r="F3" s="11" t="s">
        <v>32</v>
      </c>
      <c r="G3" s="3"/>
      <c r="H3" s="3"/>
      <c r="I3" s="4"/>
      <c r="J3" s="3"/>
      <c r="K3" s="3"/>
      <c r="L3" s="3"/>
      <c r="M3" s="3"/>
      <c r="N3" s="3"/>
      <c r="O3" s="3"/>
      <c r="P3" s="3"/>
    </row>
    <row r="4" spans="1:16" ht="15.75">
      <c r="A4" s="3" t="s">
        <v>33</v>
      </c>
      <c r="B4" s="3" t="s">
        <v>34</v>
      </c>
      <c r="C4" s="3" t="s">
        <v>35</v>
      </c>
      <c r="D4" s="12">
        <v>130</v>
      </c>
      <c r="E4" s="3">
        <v>40</v>
      </c>
      <c r="F4" s="3" t="s">
        <v>36</v>
      </c>
      <c r="G4" s="3"/>
      <c r="H4" s="3"/>
      <c r="I4" s="3"/>
      <c r="J4" s="6"/>
      <c r="K4" s="3"/>
      <c r="L4" s="3"/>
      <c r="M4" s="3"/>
      <c r="N4" s="3"/>
      <c r="O4" s="3"/>
      <c r="P4" s="3"/>
    </row>
    <row r="5" spans="1:16" ht="15.75">
      <c r="A5" s="11" t="s">
        <v>37</v>
      </c>
      <c r="B5" s="11" t="s">
        <v>38</v>
      </c>
      <c r="C5" s="11" t="s">
        <v>39</v>
      </c>
      <c r="D5" s="13">
        <v>900</v>
      </c>
      <c r="E5" s="11">
        <v>25</v>
      </c>
      <c r="F5" s="11" t="s">
        <v>28</v>
      </c>
      <c r="G5" s="3"/>
      <c r="H5" s="3"/>
      <c r="I5" s="3"/>
      <c r="J5" s="6"/>
      <c r="K5" s="3"/>
      <c r="L5" s="3"/>
      <c r="M5" s="3"/>
      <c r="N5" s="3"/>
      <c r="O5" s="3"/>
      <c r="P5" s="3"/>
    </row>
    <row r="6" spans="1:16">
      <c r="A6" s="3" t="s">
        <v>40</v>
      </c>
      <c r="B6" s="3" t="s">
        <v>41</v>
      </c>
      <c r="C6" s="3" t="s">
        <v>42</v>
      </c>
      <c r="D6" s="12">
        <v>70</v>
      </c>
      <c r="E6" s="3">
        <v>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11" t="s">
        <v>43</v>
      </c>
      <c r="B7" s="11" t="s">
        <v>44</v>
      </c>
      <c r="C7" s="11" t="s">
        <v>45</v>
      </c>
      <c r="D7" s="13"/>
      <c r="E7" s="11">
        <v>45</v>
      </c>
      <c r="F7" s="11" t="s">
        <v>46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 t="s">
        <v>47</v>
      </c>
      <c r="B8" s="3" t="s">
        <v>48</v>
      </c>
      <c r="C8" s="3" t="s">
        <v>49</v>
      </c>
      <c r="D8" s="12">
        <v>30</v>
      </c>
      <c r="E8" s="3">
        <v>5</v>
      </c>
      <c r="F8" s="3" t="s">
        <v>32</v>
      </c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11" t="s">
        <v>50</v>
      </c>
      <c r="B9" s="11" t="s">
        <v>51</v>
      </c>
      <c r="C9" s="11" t="s">
        <v>52</v>
      </c>
      <c r="D9" s="13">
        <v>90</v>
      </c>
      <c r="E9" s="11">
        <v>35</v>
      </c>
      <c r="F9" s="11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 t="s">
        <v>53</v>
      </c>
      <c r="B10" s="3" t="s">
        <v>54</v>
      </c>
      <c r="C10" s="3" t="s">
        <v>55</v>
      </c>
      <c r="D10" s="12">
        <v>500</v>
      </c>
      <c r="E10" s="3">
        <v>50</v>
      </c>
      <c r="F10" s="3" t="s">
        <v>28</v>
      </c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11" t="s">
        <v>56</v>
      </c>
      <c r="B11" s="11" t="s">
        <v>57</v>
      </c>
      <c r="C11" s="11" t="s">
        <v>58</v>
      </c>
      <c r="D11" s="13">
        <v>130</v>
      </c>
      <c r="E11" s="11">
        <v>10</v>
      </c>
      <c r="F11" s="11" t="s">
        <v>59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 t="s">
        <v>60</v>
      </c>
      <c r="B12" s="3" t="s">
        <v>61</v>
      </c>
      <c r="C12" s="3" t="s">
        <v>62</v>
      </c>
      <c r="D12" s="12">
        <v>950</v>
      </c>
      <c r="E12" s="3">
        <v>25</v>
      </c>
      <c r="F12" s="3" t="s">
        <v>28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11" t="s">
        <v>63</v>
      </c>
      <c r="B13" s="11" t="s">
        <v>30</v>
      </c>
      <c r="C13" s="11" t="s">
        <v>49</v>
      </c>
      <c r="D13" s="13">
        <v>90</v>
      </c>
      <c r="E13" s="11">
        <v>40</v>
      </c>
      <c r="F13" s="11" t="s">
        <v>64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 t="s">
        <v>65</v>
      </c>
      <c r="B14" s="3" t="s">
        <v>34</v>
      </c>
      <c r="C14" s="3" t="s">
        <v>66</v>
      </c>
      <c r="D14" s="12">
        <v>120</v>
      </c>
      <c r="E14" s="3">
        <v>35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11" t="s">
        <v>67</v>
      </c>
      <c r="B15" s="11" t="s">
        <v>68</v>
      </c>
      <c r="C15" s="11" t="s">
        <v>69</v>
      </c>
      <c r="D15" s="13">
        <v>150</v>
      </c>
      <c r="E15" s="11">
        <v>15</v>
      </c>
      <c r="F15" s="11" t="s">
        <v>46</v>
      </c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 t="s">
        <v>70</v>
      </c>
      <c r="B16" s="3" t="s">
        <v>71</v>
      </c>
      <c r="C16" s="3" t="s">
        <v>72</v>
      </c>
      <c r="D16" s="12">
        <v>250</v>
      </c>
      <c r="E16" s="3">
        <v>20</v>
      </c>
      <c r="F16" s="3" t="s">
        <v>46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11" t="s">
        <v>73</v>
      </c>
      <c r="B17" s="11" t="s">
        <v>74</v>
      </c>
      <c r="C17" s="11" t="s">
        <v>75</v>
      </c>
      <c r="D17" s="13">
        <v>50</v>
      </c>
      <c r="E17" s="11">
        <v>35</v>
      </c>
      <c r="F17" s="11" t="s">
        <v>76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 t="s">
        <v>77</v>
      </c>
      <c r="B18" s="3" t="s">
        <v>68</v>
      </c>
      <c r="C18" s="3" t="s">
        <v>78</v>
      </c>
      <c r="D18" s="12">
        <v>160</v>
      </c>
      <c r="E18" s="3">
        <v>15</v>
      </c>
      <c r="F18" s="3" t="s">
        <v>46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11" t="s">
        <v>79</v>
      </c>
      <c r="B19" s="11" t="s">
        <v>26</v>
      </c>
      <c r="C19" s="11" t="s">
        <v>80</v>
      </c>
      <c r="D19" s="13">
        <v>980</v>
      </c>
      <c r="E19" s="11">
        <v>10</v>
      </c>
      <c r="F19" s="11" t="s">
        <v>28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 t="s">
        <v>81</v>
      </c>
      <c r="B20" s="3" t="s">
        <v>82</v>
      </c>
      <c r="C20" s="3" t="s">
        <v>83</v>
      </c>
      <c r="D20" s="12">
        <v>150</v>
      </c>
      <c r="E20" s="3">
        <v>15</v>
      </c>
      <c r="F20" s="3" t="s">
        <v>32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11" t="s">
        <v>84</v>
      </c>
      <c r="B21" s="11" t="s">
        <v>85</v>
      </c>
      <c r="C21" s="11" t="s">
        <v>86</v>
      </c>
      <c r="D21" s="13"/>
      <c r="E21" s="11">
        <v>10</v>
      </c>
      <c r="F21" s="11" t="s">
        <v>59</v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 t="s">
        <v>87</v>
      </c>
      <c r="B22" s="3" t="s">
        <v>88</v>
      </c>
      <c r="C22" s="3" t="s">
        <v>89</v>
      </c>
      <c r="D22" s="12">
        <v>700</v>
      </c>
      <c r="E22" s="3">
        <v>50</v>
      </c>
      <c r="F22" s="3" t="s">
        <v>28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1" t="s">
        <v>90</v>
      </c>
      <c r="B23" s="11" t="s">
        <v>91</v>
      </c>
      <c r="C23" s="11" t="s">
        <v>92</v>
      </c>
      <c r="D23" s="13">
        <v>80</v>
      </c>
      <c r="E23" s="11">
        <v>20</v>
      </c>
      <c r="F23" s="11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 t="s">
        <v>93</v>
      </c>
      <c r="B24" s="3" t="s">
        <v>94</v>
      </c>
      <c r="C24" s="3" t="s">
        <v>95</v>
      </c>
      <c r="D24" s="12">
        <v>150</v>
      </c>
      <c r="E24" s="3">
        <v>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11" t="s">
        <v>73</v>
      </c>
      <c r="B25" s="11" t="s">
        <v>74</v>
      </c>
      <c r="C25" s="11" t="s">
        <v>75</v>
      </c>
      <c r="D25" s="13">
        <v>50</v>
      </c>
      <c r="E25" s="11">
        <v>35</v>
      </c>
      <c r="F25" s="11" t="s">
        <v>76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 t="s">
        <v>96</v>
      </c>
      <c r="B26" s="3" t="s">
        <v>97</v>
      </c>
      <c r="C26" s="3" t="s">
        <v>98</v>
      </c>
      <c r="D26" s="12">
        <v>800</v>
      </c>
      <c r="E26" s="3">
        <v>45</v>
      </c>
      <c r="F26" s="3" t="s">
        <v>28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11" t="s">
        <v>99</v>
      </c>
      <c r="B27" s="11" t="s">
        <v>82</v>
      </c>
      <c r="C27" s="11" t="s">
        <v>100</v>
      </c>
      <c r="D27" s="13"/>
      <c r="E27" s="11">
        <v>25</v>
      </c>
      <c r="F27" s="11" t="s">
        <v>32</v>
      </c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 t="s">
        <v>101</v>
      </c>
      <c r="B28" s="3" t="s">
        <v>51</v>
      </c>
      <c r="C28" s="3" t="s">
        <v>102</v>
      </c>
      <c r="D28" s="12">
        <v>400</v>
      </c>
      <c r="E28" s="3">
        <v>40</v>
      </c>
      <c r="F28" s="3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11" t="s">
        <v>70</v>
      </c>
      <c r="B29" s="11" t="s">
        <v>71</v>
      </c>
      <c r="C29" s="11" t="s">
        <v>72</v>
      </c>
      <c r="D29" s="13">
        <v>250</v>
      </c>
      <c r="E29" s="11">
        <v>20</v>
      </c>
      <c r="F29" s="11" t="s">
        <v>46</v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3" t="s">
        <v>103</v>
      </c>
      <c r="B30" s="3" t="s">
        <v>104</v>
      </c>
      <c r="C30" s="3" t="s">
        <v>105</v>
      </c>
      <c r="D30" s="12">
        <v>60</v>
      </c>
      <c r="E30" s="3">
        <v>30</v>
      </c>
      <c r="F30" s="3" t="s">
        <v>32</v>
      </c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A31" s="11" t="s">
        <v>106</v>
      </c>
      <c r="B31" s="11" t="s">
        <v>107</v>
      </c>
      <c r="C31" s="11" t="s">
        <v>108</v>
      </c>
      <c r="D31" s="13">
        <v>40</v>
      </c>
      <c r="E31" s="11">
        <v>10</v>
      </c>
      <c r="F31" s="11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A32" s="3" t="s">
        <v>109</v>
      </c>
      <c r="B32" s="3" t="s">
        <v>94</v>
      </c>
      <c r="C32" s="3" t="s">
        <v>110</v>
      </c>
      <c r="D32" s="12">
        <v>130</v>
      </c>
      <c r="E32" s="3">
        <v>5</v>
      </c>
      <c r="F32" s="3" t="s">
        <v>28</v>
      </c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>
      <c r="A33" s="11" t="s">
        <v>111</v>
      </c>
      <c r="B33" s="11" t="s">
        <v>112</v>
      </c>
      <c r="C33" s="11" t="s">
        <v>113</v>
      </c>
      <c r="D33" s="13">
        <v>50</v>
      </c>
      <c r="E33" s="11">
        <v>50</v>
      </c>
      <c r="F33" s="11" t="s">
        <v>32</v>
      </c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 t="s">
        <v>60</v>
      </c>
      <c r="B34" s="3" t="s">
        <v>61</v>
      </c>
      <c r="C34" s="3" t="s">
        <v>62</v>
      </c>
      <c r="D34" s="12">
        <v>950</v>
      </c>
      <c r="E34" s="3">
        <v>25</v>
      </c>
      <c r="F34" s="3" t="s">
        <v>28</v>
      </c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A35" s="11" t="s">
        <v>114</v>
      </c>
      <c r="B35" s="11" t="s">
        <v>115</v>
      </c>
      <c r="C35" s="11" t="s">
        <v>116</v>
      </c>
      <c r="D35" s="13">
        <v>100</v>
      </c>
      <c r="E35" s="11">
        <v>20</v>
      </c>
      <c r="F35" s="11" t="s">
        <v>76</v>
      </c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1:1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1:1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1:1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1:1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1:1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1:1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1:1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1:1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1:1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1:1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1:1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1:1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1:1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1:1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1:1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1:1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1:1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1:1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1:1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1:1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1:1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1:1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1:1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1:1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1:1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1:1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1:1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1:1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1:1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1:1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1:1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1:1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1:1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1:1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1:1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1:1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1:1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1:1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1:1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1:1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1:1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1:1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1:1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spans="1:1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spans="1:1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1:1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1:1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spans="1:1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spans="1:1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spans="1:1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spans="1:1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1:1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1:1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spans="1:1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autoFilter ref="A1:P35" xr:uid="{01ED94E9-891C-48CF-AAA4-CF15B45568F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A144-4B89-411E-AC0F-0888A76A745C}">
  <dimension ref="A1:Q1000"/>
  <sheetViews>
    <sheetView topLeftCell="A21" workbookViewId="0">
      <selection activeCell="N2" sqref="N2:N35"/>
    </sheetView>
  </sheetViews>
  <sheetFormatPr defaultRowHeight="15"/>
  <cols>
    <col min="1" max="1" width="12.85546875" bestFit="1" customWidth="1"/>
    <col min="2" max="2" width="14.140625" bestFit="1" customWidth="1"/>
    <col min="3" max="3" width="12.140625" bestFit="1" customWidth="1"/>
    <col min="4" max="4" width="8.42578125" bestFit="1" customWidth="1"/>
    <col min="5" max="5" width="8.7109375" bestFit="1" customWidth="1"/>
    <col min="6" max="6" width="11.140625" bestFit="1" customWidth="1"/>
    <col min="8" max="8" width="20" bestFit="1" customWidth="1"/>
    <col min="11" max="11" width="11.140625" bestFit="1" customWidth="1"/>
    <col min="12" max="12" width="20.42578125" bestFit="1" customWidth="1"/>
    <col min="13" max="13" width="14.140625" bestFit="1" customWidth="1"/>
  </cols>
  <sheetData>
    <row r="1" spans="1:17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3"/>
      <c r="H1" s="3" t="s">
        <v>117</v>
      </c>
      <c r="I1" s="3" t="s">
        <v>118</v>
      </c>
      <c r="J1" s="3"/>
      <c r="K1" s="3"/>
      <c r="L1" s="3" t="s">
        <v>119</v>
      </c>
      <c r="M1" s="10" t="s">
        <v>120</v>
      </c>
      <c r="N1" s="3" t="s">
        <v>121</v>
      </c>
      <c r="O1" s="3" t="s">
        <v>122</v>
      </c>
      <c r="P1" s="3" t="s">
        <v>123</v>
      </c>
    </row>
    <row r="2" spans="1:17">
      <c r="A2" s="3" t="s">
        <v>25</v>
      </c>
      <c r="B2" s="3" t="s">
        <v>26</v>
      </c>
      <c r="C2" s="3" t="s">
        <v>27</v>
      </c>
      <c r="D2" s="12">
        <v>1000</v>
      </c>
      <c r="E2" s="3">
        <v>30</v>
      </c>
      <c r="F2" s="3" t="s">
        <v>28</v>
      </c>
      <c r="G2" s="3"/>
      <c r="H2" s="3">
        <f>COUNTBLANK(D2:D35)</f>
        <v>3</v>
      </c>
      <c r="I2" s="14">
        <f>AVERAGE(D2:D35)</f>
        <v>309.35483870967744</v>
      </c>
      <c r="J2" s="10"/>
      <c r="K2" s="10"/>
      <c r="L2" s="15" t="str">
        <f>IF(F2="","Missing","Available")</f>
        <v>Available</v>
      </c>
      <c r="M2" s="10" t="str">
        <f>IF(F2&lt;&gt;"",F2,IF(B2="Backpack","Fashion",IF(B2="Sneakers","Fashion",IF(B2="Coffee Maker","Kitchen",IF(B2="Fitness Tracker","Electronics","Unknown")))))</f>
        <v>Electronics</v>
      </c>
      <c r="N2" s="10" t="str">
        <f>PROPER(B2)</f>
        <v>Laptop</v>
      </c>
      <c r="O2" s="3" t="str">
        <f>IF(F2="Electroni","Typo","Correct")</f>
        <v>Correct</v>
      </c>
      <c r="P2" s="3" t="str">
        <f t="shared" ref="P2:P37" si="0">IF(M2="Electroni","Electronics",M2)</f>
        <v>Electronics</v>
      </c>
      <c r="Q2" s="3">
        <f>IF(G2="Electroni","Electronics",G2)</f>
        <v>0</v>
      </c>
    </row>
    <row r="3" spans="1:17" ht="15.75">
      <c r="A3" s="11" t="s">
        <v>29</v>
      </c>
      <c r="B3" s="11" t="s">
        <v>30</v>
      </c>
      <c r="C3" s="11" t="s">
        <v>31</v>
      </c>
      <c r="D3" s="13">
        <v>80</v>
      </c>
      <c r="E3" s="11">
        <v>15</v>
      </c>
      <c r="F3" s="11" t="s">
        <v>32</v>
      </c>
      <c r="G3" s="3"/>
      <c r="H3" s="3"/>
      <c r="I3" s="4"/>
      <c r="J3" s="3"/>
      <c r="K3" s="3" t="str" cm="1">
        <f t="array" ref="K3:K9">_xlfn.UNIQUE(F2:F35,FALSE)</f>
        <v>Electronics</v>
      </c>
      <c r="L3" s="15" t="str">
        <f t="shared" ref="L3:L35" si="1">IF(F3="","Missing","Available")</f>
        <v>Available</v>
      </c>
      <c r="M3" s="10" t="str">
        <f t="shared" ref="M3:M36" si="2">IF(F3&lt;&gt;"",F3,IF(B3="Backpack","Fashion",IF(B3="Sneakers","Fashion",IF(B3="Coffee Maker","Kitchen",IF(B3="Fitness Tracker","Electronics","Unknown")))))</f>
        <v>Fashion</v>
      </c>
      <c r="N3" s="10" t="str">
        <f t="shared" ref="N3:N36" si="3">PROPER(B3)</f>
        <v>Sneakers</v>
      </c>
      <c r="O3" s="3" t="str">
        <f t="shared" ref="O3:O36" si="4">IF(F3="Electroni","Typo","Correct")</f>
        <v>Correct</v>
      </c>
      <c r="P3" s="3" t="str">
        <f t="shared" si="0"/>
        <v>Fashion</v>
      </c>
    </row>
    <row r="4" spans="1:17" ht="15.75">
      <c r="A4" s="3" t="s">
        <v>33</v>
      </c>
      <c r="B4" s="3" t="s">
        <v>34</v>
      </c>
      <c r="C4" s="3" t="s">
        <v>35</v>
      </c>
      <c r="D4" s="12">
        <v>130</v>
      </c>
      <c r="E4" s="3">
        <v>40</v>
      </c>
      <c r="F4" s="3" t="s">
        <v>36</v>
      </c>
      <c r="G4" s="3"/>
      <c r="H4" s="3"/>
      <c r="I4" s="3"/>
      <c r="J4" s="6"/>
      <c r="K4" s="3" t="str">
        <v>Fashion</v>
      </c>
      <c r="L4" s="15" t="str">
        <f t="shared" si="1"/>
        <v>Available</v>
      </c>
      <c r="M4" s="10" t="str">
        <f t="shared" si="2"/>
        <v>Kitchen</v>
      </c>
      <c r="N4" s="10" t="str">
        <f t="shared" si="3"/>
        <v>Coffee Maker</v>
      </c>
      <c r="O4" s="3" t="str">
        <f t="shared" si="4"/>
        <v>Correct</v>
      </c>
      <c r="P4" s="3" t="str">
        <f t="shared" si="0"/>
        <v>Kitchen</v>
      </c>
    </row>
    <row r="5" spans="1:17" ht="15.75">
      <c r="A5" s="11" t="s">
        <v>37</v>
      </c>
      <c r="B5" s="11" t="s">
        <v>38</v>
      </c>
      <c r="C5" s="11" t="s">
        <v>39</v>
      </c>
      <c r="D5" s="13">
        <v>900</v>
      </c>
      <c r="E5" s="11">
        <v>25</v>
      </c>
      <c r="F5" s="11" t="s">
        <v>28</v>
      </c>
      <c r="G5" s="3"/>
      <c r="H5" s="3"/>
      <c r="I5" s="3"/>
      <c r="J5" s="6"/>
      <c r="K5" s="3" t="str">
        <v>Kitchen</v>
      </c>
      <c r="L5" s="15" t="str">
        <f t="shared" si="1"/>
        <v>Available</v>
      </c>
      <c r="M5" s="10" t="str">
        <f t="shared" si="2"/>
        <v>Electronics</v>
      </c>
      <c r="N5" s="10" t="str">
        <f t="shared" si="3"/>
        <v>Smartphone</v>
      </c>
      <c r="O5" s="3" t="str">
        <f t="shared" si="4"/>
        <v>Correct</v>
      </c>
      <c r="P5" s="3" t="str">
        <f t="shared" si="0"/>
        <v>Electronics</v>
      </c>
    </row>
    <row r="6" spans="1:17">
      <c r="A6" s="3" t="s">
        <v>40</v>
      </c>
      <c r="B6" s="3" t="s">
        <v>41</v>
      </c>
      <c r="C6" s="3" t="s">
        <v>42</v>
      </c>
      <c r="D6" s="12">
        <v>70</v>
      </c>
      <c r="E6" s="3">
        <v>20</v>
      </c>
      <c r="F6" s="3"/>
      <c r="G6" s="3"/>
      <c r="H6" s="3"/>
      <c r="I6" s="3"/>
      <c r="J6" s="3"/>
      <c r="K6" s="3">
        <v>0</v>
      </c>
      <c r="L6" s="15" t="str">
        <f t="shared" si="1"/>
        <v>Missing</v>
      </c>
      <c r="M6" s="10" t="str">
        <f t="shared" si="2"/>
        <v>Fashion</v>
      </c>
      <c r="N6" s="10" t="str">
        <f t="shared" si="3"/>
        <v>Backpack</v>
      </c>
      <c r="O6" s="3" t="str">
        <f t="shared" si="4"/>
        <v>Correct</v>
      </c>
      <c r="P6" s="3" t="str">
        <f t="shared" si="0"/>
        <v>Fashion</v>
      </c>
    </row>
    <row r="7" spans="1:17">
      <c r="A7" s="11" t="s">
        <v>43</v>
      </c>
      <c r="B7" s="11" t="s">
        <v>44</v>
      </c>
      <c r="C7" s="11" t="s">
        <v>45</v>
      </c>
      <c r="D7" s="13"/>
      <c r="E7" s="11">
        <v>45</v>
      </c>
      <c r="F7" s="11" t="s">
        <v>46</v>
      </c>
      <c r="G7" s="3"/>
      <c r="H7" s="3"/>
      <c r="I7" s="3"/>
      <c r="J7" s="3"/>
      <c r="K7" s="3" t="str">
        <v>Electroni</v>
      </c>
      <c r="L7" s="15" t="str">
        <f t="shared" si="1"/>
        <v>Available</v>
      </c>
      <c r="M7" s="10" t="str">
        <f t="shared" si="2"/>
        <v>Electroni</v>
      </c>
      <c r="N7" s="10" t="str">
        <f t="shared" si="3"/>
        <v>Headphones</v>
      </c>
      <c r="O7" s="3" t="str">
        <f>IF(F7="Electroni","Typo","Correct")</f>
        <v>Typo</v>
      </c>
      <c r="P7" s="3" t="str">
        <f t="shared" si="0"/>
        <v>Electronics</v>
      </c>
    </row>
    <row r="8" spans="1:17">
      <c r="A8" s="3" t="s">
        <v>47</v>
      </c>
      <c r="B8" s="3" t="s">
        <v>48</v>
      </c>
      <c r="C8" s="3" t="s">
        <v>49</v>
      </c>
      <c r="D8" s="12">
        <v>30</v>
      </c>
      <c r="E8" s="3">
        <v>5</v>
      </c>
      <c r="F8" s="3" t="s">
        <v>32</v>
      </c>
      <c r="G8" s="3"/>
      <c r="H8" s="3"/>
      <c r="I8" s="3"/>
      <c r="J8" s="3"/>
      <c r="K8" s="3" t="str">
        <v>Outdoor</v>
      </c>
      <c r="L8" s="15" t="str">
        <f t="shared" si="1"/>
        <v>Available</v>
      </c>
      <c r="M8" s="10" t="str">
        <f t="shared" si="2"/>
        <v>Fashion</v>
      </c>
      <c r="N8" s="10" t="str">
        <f t="shared" si="3"/>
        <v>T-Shirt</v>
      </c>
      <c r="O8" s="3" t="str">
        <f t="shared" si="4"/>
        <v>Correct</v>
      </c>
      <c r="P8" s="3" t="str">
        <f t="shared" si="0"/>
        <v>Fashion</v>
      </c>
    </row>
    <row r="9" spans="1:17">
      <c r="A9" s="11" t="s">
        <v>50</v>
      </c>
      <c r="B9" s="11" t="s">
        <v>51</v>
      </c>
      <c r="C9" s="11" t="s">
        <v>52</v>
      </c>
      <c r="D9" s="13">
        <v>90</v>
      </c>
      <c r="E9" s="11">
        <v>35</v>
      </c>
      <c r="F9" s="11" t="s">
        <v>36</v>
      </c>
      <c r="G9" s="3"/>
      <c r="H9" s="3"/>
      <c r="I9" s="3"/>
      <c r="J9" s="3"/>
      <c r="K9" s="3" t="str">
        <v>Accessories</v>
      </c>
      <c r="L9" s="15" t="str">
        <f t="shared" si="1"/>
        <v>Available</v>
      </c>
      <c r="M9" s="10" t="str">
        <f t="shared" si="2"/>
        <v>Kitchen</v>
      </c>
      <c r="N9" s="10" t="str">
        <f t="shared" si="3"/>
        <v>Blender</v>
      </c>
      <c r="O9" s="3" t="str">
        <f t="shared" si="4"/>
        <v>Correct</v>
      </c>
      <c r="P9" s="3" t="str">
        <f t="shared" si="0"/>
        <v>Kitchen</v>
      </c>
    </row>
    <row r="10" spans="1:17">
      <c r="A10" s="3" t="s">
        <v>53</v>
      </c>
      <c r="B10" s="3" t="s">
        <v>54</v>
      </c>
      <c r="C10" s="3" t="s">
        <v>55</v>
      </c>
      <c r="D10" s="12">
        <v>500</v>
      </c>
      <c r="E10" s="3">
        <v>50</v>
      </c>
      <c r="F10" s="3" t="s">
        <v>28</v>
      </c>
      <c r="G10" s="3"/>
      <c r="H10" s="3"/>
      <c r="I10" s="3"/>
      <c r="J10" s="3"/>
      <c r="K10" s="3"/>
      <c r="L10" s="15" t="str">
        <f t="shared" si="1"/>
        <v>Available</v>
      </c>
      <c r="M10" s="10" t="str">
        <f t="shared" si="2"/>
        <v>Electronics</v>
      </c>
      <c r="N10" s="10" t="str">
        <f t="shared" si="3"/>
        <v>Tablet</v>
      </c>
      <c r="O10" s="3" t="str">
        <f t="shared" si="4"/>
        <v>Correct</v>
      </c>
      <c r="P10" s="3" t="str">
        <f t="shared" si="0"/>
        <v>Electronics</v>
      </c>
    </row>
    <row r="11" spans="1:17">
      <c r="A11" s="11" t="s">
        <v>56</v>
      </c>
      <c r="B11" s="11" t="s">
        <v>57</v>
      </c>
      <c r="C11" s="11" t="s">
        <v>58</v>
      </c>
      <c r="D11" s="13">
        <v>130</v>
      </c>
      <c r="E11" s="11">
        <v>10</v>
      </c>
      <c r="F11" s="11" t="s">
        <v>59</v>
      </c>
      <c r="G11" s="3"/>
      <c r="H11" s="3"/>
      <c r="I11" s="3"/>
      <c r="J11" s="3"/>
      <c r="K11" s="3"/>
      <c r="L11" s="15" t="str">
        <f t="shared" si="1"/>
        <v>Available</v>
      </c>
      <c r="M11" s="10" t="str">
        <f t="shared" si="2"/>
        <v>Outdoor</v>
      </c>
      <c r="N11" s="10" t="str">
        <f t="shared" si="3"/>
        <v>Hiking Boots</v>
      </c>
      <c r="O11" s="3" t="str">
        <f t="shared" si="4"/>
        <v>Correct</v>
      </c>
      <c r="P11" s="3" t="str">
        <f t="shared" si="0"/>
        <v>Outdoor</v>
      </c>
    </row>
    <row r="12" spans="1:17">
      <c r="A12" s="3" t="s">
        <v>60</v>
      </c>
      <c r="B12" s="3" t="s">
        <v>61</v>
      </c>
      <c r="C12" s="3" t="s">
        <v>62</v>
      </c>
      <c r="D12" s="12">
        <v>950</v>
      </c>
      <c r="E12" s="3">
        <v>25</v>
      </c>
      <c r="F12" s="3" t="s">
        <v>28</v>
      </c>
      <c r="G12" s="3"/>
      <c r="H12" s="3"/>
      <c r="I12" s="3"/>
      <c r="J12" s="3"/>
      <c r="K12" s="3"/>
      <c r="L12" s="15" t="str">
        <f t="shared" si="1"/>
        <v>Available</v>
      </c>
      <c r="M12" s="10" t="str">
        <f t="shared" si="2"/>
        <v>Electronics</v>
      </c>
      <c r="N12" s="10" t="str">
        <f t="shared" si="3"/>
        <v>Laptop</v>
      </c>
      <c r="O12" s="3" t="str">
        <f t="shared" si="4"/>
        <v>Correct</v>
      </c>
      <c r="P12" s="3" t="str">
        <f t="shared" si="0"/>
        <v>Electronics</v>
      </c>
    </row>
    <row r="13" spans="1:17">
      <c r="A13" s="11" t="s">
        <v>63</v>
      </c>
      <c r="B13" s="11" t="s">
        <v>30</v>
      </c>
      <c r="C13" s="11" t="s">
        <v>49</v>
      </c>
      <c r="D13" s="13">
        <v>90</v>
      </c>
      <c r="E13" s="11">
        <v>40</v>
      </c>
      <c r="F13" s="11"/>
      <c r="G13" s="3"/>
      <c r="H13" s="3"/>
      <c r="I13" s="3"/>
      <c r="J13" s="3"/>
      <c r="K13" s="3"/>
      <c r="L13" s="15" t="str">
        <f t="shared" si="1"/>
        <v>Missing</v>
      </c>
      <c r="M13" s="10" t="str">
        <f>IF(F13&lt;&gt;"",F13,IF(B13="Backpack","Fashion",IF(B13="Sneakers","Fashion",IF(B13="Coffee Maker","Kitchen",IF(B13="Fitness Tracker","Electronics","Unknown")))))</f>
        <v>Fashion</v>
      </c>
      <c r="N13" s="10" t="str">
        <f t="shared" si="3"/>
        <v>Sneakers</v>
      </c>
      <c r="O13" s="3" t="str">
        <f t="shared" si="4"/>
        <v>Correct</v>
      </c>
      <c r="P13" s="3" t="str">
        <f t="shared" si="0"/>
        <v>Fashion</v>
      </c>
    </row>
    <row r="14" spans="1:17">
      <c r="A14" s="3" t="s">
        <v>65</v>
      </c>
      <c r="B14" s="3" t="s">
        <v>34</v>
      </c>
      <c r="C14" s="3" t="s">
        <v>66</v>
      </c>
      <c r="D14" s="12">
        <v>120</v>
      </c>
      <c r="E14" s="3">
        <v>35</v>
      </c>
      <c r="F14" s="3"/>
      <c r="G14" s="3"/>
      <c r="H14" s="3"/>
      <c r="I14" s="3"/>
      <c r="J14" s="3"/>
      <c r="K14" s="3"/>
      <c r="L14" s="15" t="str">
        <f t="shared" si="1"/>
        <v>Missing</v>
      </c>
      <c r="M14" s="10" t="str">
        <f t="shared" si="2"/>
        <v>Kitchen</v>
      </c>
      <c r="N14" s="10" t="str">
        <f t="shared" si="3"/>
        <v>Coffee Maker</v>
      </c>
      <c r="O14" s="3" t="str">
        <f t="shared" si="4"/>
        <v>Correct</v>
      </c>
      <c r="P14" s="3" t="str">
        <f t="shared" si="0"/>
        <v>Kitchen</v>
      </c>
    </row>
    <row r="15" spans="1:17">
      <c r="A15" s="11" t="s">
        <v>67</v>
      </c>
      <c r="B15" s="11" t="s">
        <v>68</v>
      </c>
      <c r="C15" s="11" t="s">
        <v>69</v>
      </c>
      <c r="D15" s="13">
        <v>150</v>
      </c>
      <c r="E15" s="11">
        <v>15</v>
      </c>
      <c r="F15" s="11" t="s">
        <v>46</v>
      </c>
      <c r="G15" s="3"/>
      <c r="H15" s="3"/>
      <c r="I15" s="3"/>
      <c r="J15" s="3"/>
      <c r="K15" s="3"/>
      <c r="L15" s="15" t="str">
        <f t="shared" si="1"/>
        <v>Available</v>
      </c>
      <c r="M15" s="10" t="str">
        <f t="shared" si="2"/>
        <v>Electroni</v>
      </c>
      <c r="N15" s="10" t="str">
        <f t="shared" si="3"/>
        <v>Smartwatch</v>
      </c>
      <c r="O15" s="3" t="str">
        <f t="shared" si="4"/>
        <v>Typo</v>
      </c>
      <c r="P15" s="3" t="str">
        <f t="shared" si="0"/>
        <v>Electronics</v>
      </c>
    </row>
    <row r="16" spans="1:17">
      <c r="A16" s="3" t="s">
        <v>70</v>
      </c>
      <c r="B16" s="3" t="s">
        <v>71</v>
      </c>
      <c r="C16" s="3" t="s">
        <v>72</v>
      </c>
      <c r="D16" s="12">
        <v>250</v>
      </c>
      <c r="E16" s="3">
        <v>20</v>
      </c>
      <c r="F16" s="3" t="s">
        <v>46</v>
      </c>
      <c r="G16" s="3"/>
      <c r="H16" s="3"/>
      <c r="I16" s="3"/>
      <c r="J16" s="3"/>
      <c r="K16" s="3"/>
      <c r="L16" s="15" t="str">
        <f t="shared" si="1"/>
        <v>Available</v>
      </c>
      <c r="M16" s="10" t="str">
        <f t="shared" si="2"/>
        <v>Electroni</v>
      </c>
      <c r="N16" s="10" t="str">
        <f t="shared" si="3"/>
        <v>Headphones</v>
      </c>
      <c r="O16" s="3" t="str">
        <f t="shared" si="4"/>
        <v>Typo</v>
      </c>
      <c r="P16" s="3" t="str">
        <f t="shared" si="0"/>
        <v>Electronics</v>
      </c>
    </row>
    <row r="17" spans="1:16">
      <c r="A17" s="11" t="s">
        <v>73</v>
      </c>
      <c r="B17" s="11" t="s">
        <v>74</v>
      </c>
      <c r="C17" s="11" t="s">
        <v>75</v>
      </c>
      <c r="D17" s="13">
        <v>50</v>
      </c>
      <c r="E17" s="11">
        <v>35</v>
      </c>
      <c r="F17" s="11" t="s">
        <v>76</v>
      </c>
      <c r="G17" s="3"/>
      <c r="H17" s="3"/>
      <c r="I17" s="3"/>
      <c r="J17" s="3"/>
      <c r="K17" s="3"/>
      <c r="L17" s="15" t="str">
        <f t="shared" si="1"/>
        <v>Available</v>
      </c>
      <c r="M17" s="10" t="str">
        <f t="shared" si="2"/>
        <v>Accessories</v>
      </c>
      <c r="N17" s="10" t="str">
        <f t="shared" si="3"/>
        <v>Laptop Bag</v>
      </c>
      <c r="O17" s="3" t="str">
        <f t="shared" si="4"/>
        <v>Correct</v>
      </c>
      <c r="P17" s="3" t="str">
        <f t="shared" si="0"/>
        <v>Accessories</v>
      </c>
    </row>
    <row r="18" spans="1:16">
      <c r="A18" s="3" t="s">
        <v>77</v>
      </c>
      <c r="B18" s="3" t="s">
        <v>68</v>
      </c>
      <c r="C18" s="3" t="s">
        <v>78</v>
      </c>
      <c r="D18" s="12">
        <v>160</v>
      </c>
      <c r="E18" s="3">
        <v>15</v>
      </c>
      <c r="F18" s="3" t="s">
        <v>46</v>
      </c>
      <c r="G18" s="3"/>
      <c r="H18" s="3"/>
      <c r="I18" s="3"/>
      <c r="J18" s="3"/>
      <c r="K18" s="3"/>
      <c r="L18" s="15" t="str">
        <f t="shared" si="1"/>
        <v>Available</v>
      </c>
      <c r="M18" s="10" t="str">
        <f t="shared" si="2"/>
        <v>Electroni</v>
      </c>
      <c r="N18" s="10" t="str">
        <f t="shared" si="3"/>
        <v>Smartwatch</v>
      </c>
      <c r="O18" s="3" t="str">
        <f t="shared" si="4"/>
        <v>Typo</v>
      </c>
      <c r="P18" s="3" t="str">
        <f t="shared" si="0"/>
        <v>Electronics</v>
      </c>
    </row>
    <row r="19" spans="1:16">
      <c r="A19" s="11" t="s">
        <v>79</v>
      </c>
      <c r="B19" s="11" t="s">
        <v>26</v>
      </c>
      <c r="C19" s="11" t="s">
        <v>80</v>
      </c>
      <c r="D19" s="13">
        <v>980</v>
      </c>
      <c r="E19" s="11">
        <v>10</v>
      </c>
      <c r="F19" s="11" t="s">
        <v>28</v>
      </c>
      <c r="G19" s="3"/>
      <c r="H19" s="3"/>
      <c r="I19" s="3"/>
      <c r="J19" s="3"/>
      <c r="K19" s="3"/>
      <c r="L19" s="15" t="str">
        <f t="shared" si="1"/>
        <v>Available</v>
      </c>
      <c r="M19" s="10" t="str">
        <f t="shared" si="2"/>
        <v>Electronics</v>
      </c>
      <c r="N19" s="10" t="str">
        <f t="shared" si="3"/>
        <v>Laptop</v>
      </c>
      <c r="O19" s="3" t="str">
        <f t="shared" si="4"/>
        <v>Correct</v>
      </c>
      <c r="P19" s="3" t="str">
        <f t="shared" si="0"/>
        <v>Electronics</v>
      </c>
    </row>
    <row r="20" spans="1:16">
      <c r="A20" s="3" t="s">
        <v>81</v>
      </c>
      <c r="B20" s="3" t="s">
        <v>82</v>
      </c>
      <c r="C20" s="3" t="s">
        <v>83</v>
      </c>
      <c r="D20" s="12">
        <v>150</v>
      </c>
      <c r="E20" s="3">
        <v>15</v>
      </c>
      <c r="F20" s="3" t="s">
        <v>32</v>
      </c>
      <c r="G20" s="3"/>
      <c r="H20" s="3"/>
      <c r="I20" s="3"/>
      <c r="J20" s="3"/>
      <c r="K20" s="3"/>
      <c r="L20" s="15" t="str">
        <f t="shared" si="1"/>
        <v>Available</v>
      </c>
      <c r="M20" s="10" t="str">
        <f t="shared" si="2"/>
        <v>Fashion</v>
      </c>
      <c r="N20" s="10" t="str">
        <f t="shared" si="3"/>
        <v>Sunglasses</v>
      </c>
      <c r="O20" s="3" t="str">
        <f t="shared" si="4"/>
        <v>Correct</v>
      </c>
      <c r="P20" s="3" t="str">
        <f t="shared" si="0"/>
        <v>Fashion</v>
      </c>
    </row>
    <row r="21" spans="1:16">
      <c r="A21" s="11" t="s">
        <v>84</v>
      </c>
      <c r="B21" s="11" t="s">
        <v>85</v>
      </c>
      <c r="C21" s="11" t="s">
        <v>86</v>
      </c>
      <c r="D21" s="13"/>
      <c r="E21" s="11">
        <v>10</v>
      </c>
      <c r="F21" s="11" t="s">
        <v>59</v>
      </c>
      <c r="G21" s="3"/>
      <c r="H21" s="3"/>
      <c r="I21" s="3"/>
      <c r="J21" s="3"/>
      <c r="K21" s="3"/>
      <c r="L21" s="15" t="str">
        <f t="shared" si="1"/>
        <v>Available</v>
      </c>
      <c r="M21" s="10" t="str">
        <f t="shared" si="2"/>
        <v>Outdoor</v>
      </c>
      <c r="N21" s="10" t="str">
        <f t="shared" si="3"/>
        <v>Camping Tent</v>
      </c>
      <c r="O21" s="3" t="str">
        <f t="shared" si="4"/>
        <v>Correct</v>
      </c>
      <c r="P21" s="3" t="str">
        <f t="shared" si="0"/>
        <v>Outdoor</v>
      </c>
    </row>
    <row r="22" spans="1:16">
      <c r="A22" s="3" t="s">
        <v>87</v>
      </c>
      <c r="B22" s="3" t="s">
        <v>88</v>
      </c>
      <c r="C22" s="3" t="s">
        <v>89</v>
      </c>
      <c r="D22" s="12">
        <v>700</v>
      </c>
      <c r="E22" s="3">
        <v>50</v>
      </c>
      <c r="F22" s="3" t="s">
        <v>28</v>
      </c>
      <c r="G22" s="3"/>
      <c r="H22" s="3"/>
      <c r="I22" s="3"/>
      <c r="J22" s="3"/>
      <c r="K22" s="3"/>
      <c r="L22" s="15" t="str">
        <f t="shared" si="1"/>
        <v>Available</v>
      </c>
      <c r="M22" s="10" t="str">
        <f t="shared" si="2"/>
        <v>Electronics</v>
      </c>
      <c r="N22" s="10" t="str">
        <f t="shared" si="3"/>
        <v>Camera</v>
      </c>
      <c r="O22" s="3" t="str">
        <f t="shared" si="4"/>
        <v>Correct</v>
      </c>
      <c r="P22" s="3" t="str">
        <f t="shared" si="0"/>
        <v>Electronics</v>
      </c>
    </row>
    <row r="23" spans="1:16">
      <c r="A23" s="11" t="s">
        <v>90</v>
      </c>
      <c r="B23" s="11" t="s">
        <v>91</v>
      </c>
      <c r="C23" s="11" t="s">
        <v>92</v>
      </c>
      <c r="D23" s="13">
        <v>80</v>
      </c>
      <c r="E23" s="11">
        <v>20</v>
      </c>
      <c r="F23" s="11" t="s">
        <v>36</v>
      </c>
      <c r="G23" s="3"/>
      <c r="H23" s="3"/>
      <c r="I23" s="3"/>
      <c r="J23" s="3"/>
      <c r="K23" s="3"/>
      <c r="L23" s="15" t="str">
        <f t="shared" si="1"/>
        <v>Available</v>
      </c>
      <c r="M23" s="10" t="str">
        <f t="shared" si="2"/>
        <v>Kitchen</v>
      </c>
      <c r="N23" s="10" t="str">
        <f t="shared" si="3"/>
        <v>Microwave</v>
      </c>
      <c r="O23" s="3" t="str">
        <f t="shared" si="4"/>
        <v>Correct</v>
      </c>
      <c r="P23" s="3" t="str">
        <f t="shared" si="0"/>
        <v>Kitchen</v>
      </c>
    </row>
    <row r="24" spans="1:16">
      <c r="A24" s="3" t="s">
        <v>93</v>
      </c>
      <c r="B24" s="3" t="s">
        <v>94</v>
      </c>
      <c r="C24" s="3" t="s">
        <v>95</v>
      </c>
      <c r="D24" s="12">
        <v>150</v>
      </c>
      <c r="E24" s="3">
        <v>30</v>
      </c>
      <c r="F24" s="3"/>
      <c r="G24" s="3"/>
      <c r="H24" s="3"/>
      <c r="I24" s="3"/>
      <c r="J24" s="3"/>
      <c r="K24" s="3"/>
      <c r="L24" s="15" t="str">
        <f t="shared" si="1"/>
        <v>Missing</v>
      </c>
      <c r="M24" s="10" t="str">
        <f t="shared" si="2"/>
        <v>Electronics</v>
      </c>
      <c r="N24" s="10" t="str">
        <f t="shared" si="3"/>
        <v>Fitness Tracker</v>
      </c>
      <c r="O24" s="3" t="str">
        <f t="shared" si="4"/>
        <v>Correct</v>
      </c>
      <c r="P24" s="3" t="str">
        <f t="shared" si="0"/>
        <v>Electronics</v>
      </c>
    </row>
    <row r="25" spans="1:16">
      <c r="A25" s="11" t="s">
        <v>73</v>
      </c>
      <c r="B25" s="11" t="s">
        <v>74</v>
      </c>
      <c r="C25" s="11" t="s">
        <v>75</v>
      </c>
      <c r="D25" s="13">
        <v>50</v>
      </c>
      <c r="E25" s="11">
        <v>35</v>
      </c>
      <c r="F25" s="11" t="s">
        <v>76</v>
      </c>
      <c r="G25" s="3"/>
      <c r="H25" s="3"/>
      <c r="I25" s="3"/>
      <c r="J25" s="3"/>
      <c r="K25" s="3"/>
      <c r="L25" s="15" t="str">
        <f t="shared" si="1"/>
        <v>Available</v>
      </c>
      <c r="M25" s="10" t="str">
        <f t="shared" si="2"/>
        <v>Accessories</v>
      </c>
      <c r="N25" s="10" t="str">
        <f t="shared" si="3"/>
        <v>Laptop Bag</v>
      </c>
      <c r="O25" s="3" t="str">
        <f t="shared" si="4"/>
        <v>Correct</v>
      </c>
      <c r="P25" s="3" t="str">
        <f t="shared" si="0"/>
        <v>Accessories</v>
      </c>
    </row>
    <row r="26" spans="1:16">
      <c r="A26" s="3" t="s">
        <v>96</v>
      </c>
      <c r="B26" s="3" t="s">
        <v>97</v>
      </c>
      <c r="C26" s="3" t="s">
        <v>98</v>
      </c>
      <c r="D26" s="12">
        <v>800</v>
      </c>
      <c r="E26" s="3">
        <v>45</v>
      </c>
      <c r="F26" s="3" t="s">
        <v>28</v>
      </c>
      <c r="G26" s="3"/>
      <c r="H26" s="3"/>
      <c r="I26" s="3"/>
      <c r="J26" s="3"/>
      <c r="K26" s="3"/>
      <c r="L26" s="15" t="str">
        <f t="shared" si="1"/>
        <v>Available</v>
      </c>
      <c r="M26" s="10" t="str">
        <f t="shared" si="2"/>
        <v>Electronics</v>
      </c>
      <c r="N26" s="10" t="str">
        <f t="shared" si="3"/>
        <v>Smartphone</v>
      </c>
      <c r="O26" s="3" t="str">
        <f t="shared" si="4"/>
        <v>Correct</v>
      </c>
      <c r="P26" s="3" t="str">
        <f t="shared" si="0"/>
        <v>Electronics</v>
      </c>
    </row>
    <row r="27" spans="1:16">
      <c r="A27" s="11" t="s">
        <v>99</v>
      </c>
      <c r="B27" s="11" t="s">
        <v>82</v>
      </c>
      <c r="C27" s="11" t="s">
        <v>100</v>
      </c>
      <c r="D27" s="13"/>
      <c r="E27" s="11">
        <v>25</v>
      </c>
      <c r="F27" s="11" t="s">
        <v>32</v>
      </c>
      <c r="G27" s="3"/>
      <c r="H27" s="3"/>
      <c r="I27" s="3"/>
      <c r="J27" s="3"/>
      <c r="K27" s="3"/>
      <c r="L27" s="15" t="str">
        <f t="shared" si="1"/>
        <v>Available</v>
      </c>
      <c r="M27" s="10" t="str">
        <f t="shared" si="2"/>
        <v>Fashion</v>
      </c>
      <c r="N27" s="10" t="str">
        <f t="shared" si="3"/>
        <v>Sunglasses</v>
      </c>
      <c r="O27" s="3" t="str">
        <f t="shared" si="4"/>
        <v>Correct</v>
      </c>
      <c r="P27" s="3" t="str">
        <f t="shared" si="0"/>
        <v>Fashion</v>
      </c>
    </row>
    <row r="28" spans="1:16">
      <c r="A28" s="3" t="s">
        <v>101</v>
      </c>
      <c r="B28" s="3" t="s">
        <v>51</v>
      </c>
      <c r="C28" s="3" t="s">
        <v>102</v>
      </c>
      <c r="D28" s="12">
        <v>400</v>
      </c>
      <c r="E28" s="3">
        <v>40</v>
      </c>
      <c r="F28" s="3" t="s">
        <v>36</v>
      </c>
      <c r="G28" s="3"/>
      <c r="H28" s="3"/>
      <c r="I28" s="3"/>
      <c r="J28" s="3"/>
      <c r="K28" s="3"/>
      <c r="L28" s="15" t="str">
        <f t="shared" si="1"/>
        <v>Available</v>
      </c>
      <c r="M28" s="10" t="str">
        <f t="shared" si="2"/>
        <v>Kitchen</v>
      </c>
      <c r="N28" s="10" t="str">
        <f t="shared" si="3"/>
        <v>Blender</v>
      </c>
      <c r="O28" s="3" t="str">
        <f t="shared" si="4"/>
        <v>Correct</v>
      </c>
      <c r="P28" s="3" t="str">
        <f t="shared" si="0"/>
        <v>Kitchen</v>
      </c>
    </row>
    <row r="29" spans="1:16">
      <c r="A29" s="11" t="s">
        <v>70</v>
      </c>
      <c r="B29" s="11" t="s">
        <v>71</v>
      </c>
      <c r="C29" s="11" t="s">
        <v>72</v>
      </c>
      <c r="D29" s="13">
        <v>250</v>
      </c>
      <c r="E29" s="11">
        <v>20</v>
      </c>
      <c r="F29" s="11" t="s">
        <v>46</v>
      </c>
      <c r="G29" s="3"/>
      <c r="H29" s="3"/>
      <c r="I29" s="3"/>
      <c r="J29" s="3"/>
      <c r="K29" s="3"/>
      <c r="L29" s="15" t="str">
        <f t="shared" si="1"/>
        <v>Available</v>
      </c>
      <c r="M29" s="10" t="str">
        <f t="shared" si="2"/>
        <v>Electroni</v>
      </c>
      <c r="N29" s="10" t="str">
        <f t="shared" si="3"/>
        <v>Headphones</v>
      </c>
      <c r="O29" s="3" t="str">
        <f t="shared" si="4"/>
        <v>Typo</v>
      </c>
      <c r="P29" s="3" t="str">
        <f t="shared" si="0"/>
        <v>Electronics</v>
      </c>
    </row>
    <row r="30" spans="1:16">
      <c r="A30" s="3" t="s">
        <v>103</v>
      </c>
      <c r="B30" s="3" t="s">
        <v>104</v>
      </c>
      <c r="C30" s="3" t="s">
        <v>105</v>
      </c>
      <c r="D30" s="12">
        <v>60</v>
      </c>
      <c r="E30" s="3">
        <v>30</v>
      </c>
      <c r="F30" s="3" t="s">
        <v>32</v>
      </c>
      <c r="G30" s="3"/>
      <c r="H30" s="3"/>
      <c r="I30" s="3"/>
      <c r="J30" s="3"/>
      <c r="K30" s="3"/>
      <c r="L30" s="15" t="str">
        <f t="shared" si="1"/>
        <v>Available</v>
      </c>
      <c r="M30" s="10" t="str">
        <f t="shared" si="2"/>
        <v>Fashion</v>
      </c>
      <c r="N30" s="10" t="str">
        <f t="shared" si="3"/>
        <v>Dress</v>
      </c>
      <c r="O30" s="3" t="str">
        <f t="shared" si="4"/>
        <v>Correct</v>
      </c>
      <c r="P30" s="3" t="str">
        <f t="shared" si="0"/>
        <v>Fashion</v>
      </c>
    </row>
    <row r="31" spans="1:16">
      <c r="A31" s="11" t="s">
        <v>106</v>
      </c>
      <c r="B31" s="11" t="s">
        <v>107</v>
      </c>
      <c r="C31" s="11" t="s">
        <v>108</v>
      </c>
      <c r="D31" s="13">
        <v>40</v>
      </c>
      <c r="E31" s="11">
        <v>10</v>
      </c>
      <c r="F31" s="11" t="s">
        <v>36</v>
      </c>
      <c r="G31" s="3"/>
      <c r="H31" s="3"/>
      <c r="I31" s="3"/>
      <c r="J31" s="3"/>
      <c r="K31" s="3"/>
      <c r="L31" s="15" t="str">
        <f t="shared" si="1"/>
        <v>Available</v>
      </c>
      <c r="M31" s="10" t="str">
        <f t="shared" si="2"/>
        <v>Kitchen</v>
      </c>
      <c r="N31" s="10" t="str">
        <f t="shared" si="3"/>
        <v>Toaster</v>
      </c>
      <c r="O31" s="3" t="str">
        <f t="shared" si="4"/>
        <v>Correct</v>
      </c>
      <c r="P31" s="3" t="str">
        <f t="shared" si="0"/>
        <v>Kitchen</v>
      </c>
    </row>
    <row r="32" spans="1:16">
      <c r="A32" s="3" t="s">
        <v>109</v>
      </c>
      <c r="B32" s="3" t="s">
        <v>94</v>
      </c>
      <c r="C32" s="3" t="s">
        <v>110</v>
      </c>
      <c r="D32" s="12">
        <v>130</v>
      </c>
      <c r="E32" s="3">
        <v>5</v>
      </c>
      <c r="F32" s="3" t="s">
        <v>28</v>
      </c>
      <c r="G32" s="3"/>
      <c r="H32" s="3"/>
      <c r="I32" s="3"/>
      <c r="J32" s="3"/>
      <c r="K32" s="3"/>
      <c r="L32" s="15" t="str">
        <f t="shared" si="1"/>
        <v>Available</v>
      </c>
      <c r="M32" s="10" t="str">
        <f t="shared" si="2"/>
        <v>Electronics</v>
      </c>
      <c r="N32" s="10" t="str">
        <f t="shared" si="3"/>
        <v>Fitness Tracker</v>
      </c>
      <c r="O32" s="3" t="str">
        <f t="shared" si="4"/>
        <v>Correct</v>
      </c>
      <c r="P32" s="3" t="str">
        <f t="shared" si="0"/>
        <v>Electronics</v>
      </c>
    </row>
    <row r="33" spans="1:16">
      <c r="A33" s="11" t="s">
        <v>111</v>
      </c>
      <c r="B33" s="11" t="s">
        <v>112</v>
      </c>
      <c r="C33" s="11" t="s">
        <v>113</v>
      </c>
      <c r="D33" s="13">
        <v>50</v>
      </c>
      <c r="E33" s="11">
        <v>50</v>
      </c>
      <c r="F33" s="11" t="s">
        <v>32</v>
      </c>
      <c r="G33" s="3"/>
      <c r="H33" s="3"/>
      <c r="I33" s="3"/>
      <c r="J33" s="3"/>
      <c r="K33" s="3"/>
      <c r="L33" s="15" t="str">
        <f t="shared" si="1"/>
        <v>Available</v>
      </c>
      <c r="M33" s="10" t="str">
        <f t="shared" si="2"/>
        <v>Fashion</v>
      </c>
      <c r="N33" s="10" t="str">
        <f t="shared" si="3"/>
        <v>Jeans</v>
      </c>
      <c r="O33" s="3" t="str">
        <f t="shared" si="4"/>
        <v>Correct</v>
      </c>
      <c r="P33" s="3" t="str">
        <f t="shared" si="0"/>
        <v>Fashion</v>
      </c>
    </row>
    <row r="34" spans="1:16">
      <c r="A34" s="3" t="s">
        <v>60</v>
      </c>
      <c r="B34" s="3" t="s">
        <v>61</v>
      </c>
      <c r="C34" s="3" t="s">
        <v>62</v>
      </c>
      <c r="D34" s="12">
        <v>950</v>
      </c>
      <c r="E34" s="3">
        <v>25</v>
      </c>
      <c r="F34" s="3" t="s">
        <v>28</v>
      </c>
      <c r="G34" s="3"/>
      <c r="H34" s="3"/>
      <c r="I34" s="3"/>
      <c r="J34" s="3"/>
      <c r="K34" s="3"/>
      <c r="L34" s="15" t="str">
        <f t="shared" si="1"/>
        <v>Available</v>
      </c>
      <c r="M34" s="10" t="str">
        <f t="shared" si="2"/>
        <v>Electronics</v>
      </c>
      <c r="N34" s="10" t="str">
        <f t="shared" si="3"/>
        <v>Laptop</v>
      </c>
      <c r="O34" s="3" t="str">
        <f t="shared" si="4"/>
        <v>Correct</v>
      </c>
      <c r="P34" s="3" t="str">
        <f t="shared" si="0"/>
        <v>Electronics</v>
      </c>
    </row>
    <row r="35" spans="1:16">
      <c r="A35" s="11" t="s">
        <v>114</v>
      </c>
      <c r="B35" s="11" t="s">
        <v>115</v>
      </c>
      <c r="C35" s="11" t="s">
        <v>116</v>
      </c>
      <c r="D35" s="13">
        <v>100</v>
      </c>
      <c r="E35" s="11">
        <v>20</v>
      </c>
      <c r="F35" s="11" t="s">
        <v>76</v>
      </c>
      <c r="G35" s="3"/>
      <c r="H35" s="3"/>
      <c r="I35" s="3"/>
      <c r="J35" s="3"/>
      <c r="K35" s="3"/>
      <c r="L35" s="15" t="str">
        <f t="shared" si="1"/>
        <v>Available</v>
      </c>
      <c r="M35" s="10" t="str">
        <f t="shared" si="2"/>
        <v>Accessories</v>
      </c>
      <c r="N35" s="10" t="str">
        <f t="shared" si="3"/>
        <v>Watch</v>
      </c>
      <c r="O35" s="3" t="str">
        <f t="shared" si="4"/>
        <v>Correct</v>
      </c>
      <c r="P35" s="3" t="str">
        <f t="shared" si="0"/>
        <v>Accessories</v>
      </c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10" t="str">
        <f t="shared" si="2"/>
        <v>Unknown</v>
      </c>
      <c r="N36" s="10" t="str">
        <f t="shared" si="3"/>
        <v/>
      </c>
      <c r="O36" s="3" t="str">
        <f t="shared" si="4"/>
        <v>Correct</v>
      </c>
      <c r="P36" s="3" t="str">
        <f t="shared" si="0"/>
        <v>Unknown</v>
      </c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1:1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1:1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1:1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1:1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1:1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1:1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1:1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1:1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1:1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1:1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1:1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1:1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1:1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1:1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1:1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1:1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1:1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1:1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1:1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1:1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1:1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1:1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1:1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1:1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1:1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1:1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1:1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1:1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1:1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1:1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1:1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1:1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1:1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1:1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1:1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1:1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1:1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1:1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1:1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1:1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1:1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1:1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1:1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spans="1:1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spans="1:1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1:1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1:1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spans="1:1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spans="1:1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spans="1:1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spans="1:1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1:1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1:1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spans="1:1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59C3-8CBE-4404-8DB0-78B86A897702}">
  <dimension ref="A1:P1000"/>
  <sheetViews>
    <sheetView workbookViewId="0">
      <selection activeCell="I1" sqref="I1:N1048576"/>
    </sheetView>
  </sheetViews>
  <sheetFormatPr defaultRowHeight="15"/>
  <cols>
    <col min="1" max="1" width="11.140625" bestFit="1" customWidth="1"/>
    <col min="2" max="2" width="14.140625" bestFit="1" customWidth="1"/>
    <col min="3" max="3" width="12.140625" bestFit="1" customWidth="1"/>
    <col min="4" max="4" width="8.42578125" bestFit="1" customWidth="1"/>
    <col min="5" max="5" width="8.7109375" bestFit="1" customWidth="1"/>
    <col min="6" max="6" width="11.140625" bestFit="1" customWidth="1"/>
    <col min="9" max="9" width="12.85546875" bestFit="1" customWidth="1"/>
    <col min="10" max="10" width="16.140625" bestFit="1" customWidth="1"/>
    <col min="11" max="11" width="14.42578125" bestFit="1" customWidth="1"/>
    <col min="12" max="12" width="10.28515625" bestFit="1" customWidth="1"/>
    <col min="13" max="13" width="11" bestFit="1" customWidth="1"/>
    <col min="14" max="14" width="11.42578125" bestFit="1" customWidth="1"/>
  </cols>
  <sheetData>
    <row r="1" spans="1:16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3"/>
      <c r="H1" s="3"/>
      <c r="I1" s="10"/>
      <c r="J1" s="10"/>
      <c r="K1" s="10"/>
      <c r="L1" s="10"/>
      <c r="M1" s="10"/>
      <c r="N1" s="10"/>
      <c r="O1" s="3"/>
      <c r="P1" s="3"/>
    </row>
    <row r="2" spans="1:16">
      <c r="A2" s="3" t="s">
        <v>25</v>
      </c>
      <c r="B2" s="3" t="s">
        <v>26</v>
      </c>
      <c r="C2" s="3" t="s">
        <v>27</v>
      </c>
      <c r="D2" s="12">
        <v>1000</v>
      </c>
      <c r="E2" s="3">
        <v>30</v>
      </c>
      <c r="F2" s="3" t="s">
        <v>28</v>
      </c>
      <c r="G2" s="3"/>
      <c r="H2" s="3"/>
      <c r="I2" s="3"/>
      <c r="J2" s="3"/>
      <c r="K2" s="3"/>
      <c r="L2" s="12"/>
      <c r="M2" s="3"/>
      <c r="N2" s="3"/>
      <c r="O2" s="3"/>
      <c r="P2" s="3"/>
    </row>
    <row r="3" spans="1:16">
      <c r="A3" s="11" t="s">
        <v>29</v>
      </c>
      <c r="B3" s="11" t="s">
        <v>30</v>
      </c>
      <c r="C3" s="11" t="s">
        <v>31</v>
      </c>
      <c r="D3" s="13">
        <v>80</v>
      </c>
      <c r="E3" s="11">
        <v>15</v>
      </c>
      <c r="F3" s="11" t="s">
        <v>32</v>
      </c>
      <c r="G3" s="3"/>
      <c r="H3" s="3"/>
      <c r="I3" s="11"/>
      <c r="J3" s="11"/>
      <c r="K3" s="11"/>
      <c r="L3" s="13"/>
      <c r="M3" s="11"/>
      <c r="N3" s="11"/>
      <c r="O3" s="3"/>
      <c r="P3" s="3"/>
    </row>
    <row r="4" spans="1:16">
      <c r="A4" s="3" t="s">
        <v>33</v>
      </c>
      <c r="B4" s="3" t="s">
        <v>34</v>
      </c>
      <c r="C4" s="3" t="s">
        <v>35</v>
      </c>
      <c r="D4" s="12">
        <v>130</v>
      </c>
      <c r="E4" s="3">
        <v>40</v>
      </c>
      <c r="F4" s="3" t="s">
        <v>36</v>
      </c>
      <c r="G4" s="3"/>
      <c r="H4" s="3"/>
      <c r="I4" s="3"/>
      <c r="J4" s="3"/>
      <c r="K4" s="3"/>
      <c r="L4" s="12"/>
      <c r="M4" s="3"/>
      <c r="N4" s="3"/>
      <c r="O4" s="3"/>
      <c r="P4" s="3"/>
    </row>
    <row r="5" spans="1:16">
      <c r="A5" s="11" t="s">
        <v>37</v>
      </c>
      <c r="B5" s="11" t="s">
        <v>38</v>
      </c>
      <c r="C5" s="11" t="s">
        <v>39</v>
      </c>
      <c r="D5" s="13">
        <v>900</v>
      </c>
      <c r="E5" s="11">
        <v>25</v>
      </c>
      <c r="F5" s="11" t="s">
        <v>28</v>
      </c>
      <c r="G5" s="3"/>
      <c r="H5" s="3"/>
      <c r="I5" s="11"/>
      <c r="J5" s="11"/>
      <c r="K5" s="11"/>
      <c r="L5" s="13"/>
      <c r="M5" s="11"/>
      <c r="N5" s="11"/>
      <c r="O5" s="3"/>
      <c r="P5" s="3"/>
    </row>
    <row r="6" spans="1:16">
      <c r="A6" s="3" t="s">
        <v>40</v>
      </c>
      <c r="B6" s="3" t="s">
        <v>41</v>
      </c>
      <c r="C6" s="3" t="s">
        <v>42</v>
      </c>
      <c r="D6" s="12">
        <v>70</v>
      </c>
      <c r="E6" s="3">
        <v>20</v>
      </c>
      <c r="F6" s="3"/>
      <c r="G6" s="3"/>
      <c r="H6" s="3"/>
      <c r="I6" s="3"/>
      <c r="J6" s="3"/>
      <c r="K6" s="3"/>
      <c r="L6" s="12"/>
      <c r="M6" s="3"/>
      <c r="N6" s="3"/>
      <c r="O6" s="3"/>
      <c r="P6" s="3"/>
    </row>
    <row r="7" spans="1:16">
      <c r="A7" s="11" t="s">
        <v>43</v>
      </c>
      <c r="B7" s="11" t="s">
        <v>44</v>
      </c>
      <c r="C7" s="11" t="s">
        <v>45</v>
      </c>
      <c r="D7" s="13"/>
      <c r="E7" s="11">
        <v>45</v>
      </c>
      <c r="F7" s="11" t="s">
        <v>46</v>
      </c>
      <c r="G7" s="3"/>
      <c r="H7" s="3"/>
      <c r="I7" s="11"/>
      <c r="J7" s="11"/>
      <c r="K7" s="11"/>
      <c r="L7" s="13"/>
      <c r="M7" s="11"/>
      <c r="N7" s="11"/>
      <c r="O7" s="3"/>
      <c r="P7" s="3"/>
    </row>
    <row r="8" spans="1:16">
      <c r="A8" s="3" t="s">
        <v>47</v>
      </c>
      <c r="B8" s="3" t="s">
        <v>48</v>
      </c>
      <c r="C8" s="3" t="s">
        <v>49</v>
      </c>
      <c r="D8" s="12">
        <v>30</v>
      </c>
      <c r="E8" s="3">
        <v>5</v>
      </c>
      <c r="F8" s="3" t="s">
        <v>32</v>
      </c>
      <c r="G8" s="3"/>
      <c r="H8" s="3"/>
      <c r="I8" s="3"/>
      <c r="J8" s="3"/>
      <c r="K8" s="3"/>
      <c r="L8" s="12"/>
      <c r="M8" s="3"/>
      <c r="N8" s="3"/>
      <c r="O8" s="3"/>
      <c r="P8" s="3"/>
    </row>
    <row r="9" spans="1:16">
      <c r="A9" s="11" t="s">
        <v>50</v>
      </c>
      <c r="B9" s="11" t="s">
        <v>51</v>
      </c>
      <c r="C9" s="11" t="s">
        <v>52</v>
      </c>
      <c r="D9" s="13">
        <v>90</v>
      </c>
      <c r="E9" s="11">
        <v>35</v>
      </c>
      <c r="F9" s="11" t="s">
        <v>36</v>
      </c>
      <c r="G9" s="3"/>
      <c r="H9" s="3"/>
      <c r="I9" s="11"/>
      <c r="J9" s="11"/>
      <c r="K9" s="11"/>
      <c r="L9" s="13"/>
      <c r="M9" s="11"/>
      <c r="N9" s="11"/>
      <c r="O9" s="3"/>
      <c r="P9" s="3"/>
    </row>
    <row r="10" spans="1:16">
      <c r="A10" s="3" t="s">
        <v>53</v>
      </c>
      <c r="B10" s="3" t="s">
        <v>54</v>
      </c>
      <c r="C10" s="3" t="s">
        <v>55</v>
      </c>
      <c r="D10" s="12">
        <v>500</v>
      </c>
      <c r="E10" s="3">
        <v>50</v>
      </c>
      <c r="F10" s="3" t="s">
        <v>28</v>
      </c>
      <c r="G10" s="3"/>
      <c r="H10" s="3"/>
      <c r="I10" s="3"/>
      <c r="J10" s="3"/>
      <c r="K10" s="3"/>
      <c r="L10" s="12"/>
      <c r="M10" s="3"/>
      <c r="N10" s="3"/>
      <c r="O10" s="3"/>
      <c r="P10" s="3"/>
    </row>
    <row r="11" spans="1:16">
      <c r="A11" s="11" t="s">
        <v>56</v>
      </c>
      <c r="B11" s="11" t="s">
        <v>57</v>
      </c>
      <c r="C11" s="11" t="s">
        <v>58</v>
      </c>
      <c r="D11" s="13">
        <v>130</v>
      </c>
      <c r="E11" s="11">
        <v>10</v>
      </c>
      <c r="F11" s="11" t="s">
        <v>59</v>
      </c>
      <c r="G11" s="3"/>
      <c r="H11" s="3"/>
      <c r="I11" s="11"/>
      <c r="J11" s="11"/>
      <c r="K11" s="11"/>
      <c r="L11" s="13"/>
      <c r="M11" s="11"/>
      <c r="N11" s="11"/>
      <c r="O11" s="3"/>
      <c r="P11" s="3"/>
    </row>
    <row r="12" spans="1:16">
      <c r="A12" s="3" t="s">
        <v>60</v>
      </c>
      <c r="B12" s="3" t="s">
        <v>61</v>
      </c>
      <c r="C12" s="3" t="s">
        <v>62</v>
      </c>
      <c r="D12" s="12">
        <v>950</v>
      </c>
      <c r="E12" s="3">
        <v>25</v>
      </c>
      <c r="F12" s="3" t="s">
        <v>28</v>
      </c>
      <c r="G12" s="3"/>
      <c r="H12" s="3"/>
      <c r="I12" s="3"/>
      <c r="J12" s="3"/>
      <c r="K12" s="3"/>
      <c r="L12" s="12"/>
      <c r="M12" s="3"/>
      <c r="N12" s="3"/>
      <c r="O12" s="3"/>
      <c r="P12" s="3"/>
    </row>
    <row r="13" spans="1:16">
      <c r="A13" s="11" t="s">
        <v>63</v>
      </c>
      <c r="B13" s="11" t="s">
        <v>30</v>
      </c>
      <c r="C13" s="11" t="s">
        <v>49</v>
      </c>
      <c r="D13" s="13">
        <v>90</v>
      </c>
      <c r="E13" s="11">
        <v>40</v>
      </c>
      <c r="F13" s="11" t="s">
        <v>64</v>
      </c>
      <c r="G13" s="3"/>
      <c r="H13" s="3"/>
      <c r="I13" s="11"/>
      <c r="J13" s="11"/>
      <c r="K13" s="11"/>
      <c r="L13" s="13"/>
      <c r="M13" s="11"/>
      <c r="N13" s="11"/>
      <c r="O13" s="3"/>
      <c r="P13" s="3"/>
    </row>
    <row r="14" spans="1:16">
      <c r="A14" s="3" t="s">
        <v>65</v>
      </c>
      <c r="B14" s="3" t="s">
        <v>34</v>
      </c>
      <c r="C14" s="3" t="s">
        <v>66</v>
      </c>
      <c r="D14" s="12">
        <v>120</v>
      </c>
      <c r="E14" s="3">
        <v>35</v>
      </c>
      <c r="F14" s="3"/>
      <c r="G14" s="3"/>
      <c r="H14" s="3"/>
      <c r="I14" s="3"/>
      <c r="J14" s="3"/>
      <c r="K14" s="3"/>
      <c r="L14" s="12"/>
      <c r="M14" s="3"/>
      <c r="N14" s="3"/>
      <c r="O14" s="3"/>
      <c r="P14" s="3"/>
    </row>
    <row r="15" spans="1:16">
      <c r="A15" s="11" t="s">
        <v>67</v>
      </c>
      <c r="B15" s="11" t="s">
        <v>68</v>
      </c>
      <c r="C15" s="11" t="s">
        <v>69</v>
      </c>
      <c r="D15" s="13">
        <v>150</v>
      </c>
      <c r="E15" s="11">
        <v>15</v>
      </c>
      <c r="F15" s="11" t="s">
        <v>46</v>
      </c>
      <c r="G15" s="3"/>
      <c r="H15" s="3"/>
      <c r="I15" s="11"/>
      <c r="J15" s="11"/>
      <c r="K15" s="11"/>
      <c r="L15" s="13"/>
      <c r="M15" s="11"/>
      <c r="N15" s="11"/>
      <c r="O15" s="3"/>
      <c r="P15" s="3"/>
    </row>
    <row r="16" spans="1:16">
      <c r="A16" s="3" t="s">
        <v>70</v>
      </c>
      <c r="B16" s="3" t="s">
        <v>71</v>
      </c>
      <c r="C16" s="3" t="s">
        <v>72</v>
      </c>
      <c r="D16" s="12">
        <v>250</v>
      </c>
      <c r="E16" s="3">
        <v>20</v>
      </c>
      <c r="F16" s="3" t="s">
        <v>46</v>
      </c>
      <c r="G16" s="3"/>
      <c r="H16" s="3"/>
      <c r="I16" s="3"/>
      <c r="J16" s="3"/>
      <c r="K16" s="3"/>
      <c r="L16" s="12"/>
      <c r="M16" s="3"/>
      <c r="N16" s="3"/>
      <c r="O16" s="3"/>
      <c r="P16" s="3"/>
    </row>
    <row r="17" spans="1:16">
      <c r="A17" s="11" t="s">
        <v>73</v>
      </c>
      <c r="B17" s="11" t="s">
        <v>74</v>
      </c>
      <c r="C17" s="11" t="s">
        <v>75</v>
      </c>
      <c r="D17" s="13">
        <v>50</v>
      </c>
      <c r="E17" s="11">
        <v>35</v>
      </c>
      <c r="F17" s="11" t="s">
        <v>76</v>
      </c>
      <c r="G17" s="3"/>
      <c r="H17" s="3"/>
      <c r="I17" s="11"/>
      <c r="J17" s="11"/>
      <c r="K17" s="11"/>
      <c r="L17" s="13"/>
      <c r="M17" s="11"/>
      <c r="N17" s="11"/>
      <c r="O17" s="3"/>
      <c r="P17" s="3"/>
    </row>
    <row r="18" spans="1:16">
      <c r="A18" s="3" t="s">
        <v>77</v>
      </c>
      <c r="B18" s="3" t="s">
        <v>68</v>
      </c>
      <c r="C18" s="3" t="s">
        <v>78</v>
      </c>
      <c r="D18" s="12">
        <v>160</v>
      </c>
      <c r="E18" s="3">
        <v>15</v>
      </c>
      <c r="F18" s="3" t="s">
        <v>46</v>
      </c>
      <c r="G18" s="3"/>
      <c r="H18" s="3"/>
      <c r="I18" s="3"/>
      <c r="J18" s="3"/>
      <c r="K18" s="3"/>
      <c r="L18" s="12"/>
      <c r="M18" s="3"/>
      <c r="N18" s="3"/>
      <c r="O18" s="3"/>
      <c r="P18" s="3"/>
    </row>
    <row r="19" spans="1:16">
      <c r="A19" s="11" t="s">
        <v>79</v>
      </c>
      <c r="B19" s="11" t="s">
        <v>26</v>
      </c>
      <c r="C19" s="11" t="s">
        <v>80</v>
      </c>
      <c r="D19" s="13">
        <v>980</v>
      </c>
      <c r="E19" s="11">
        <v>10</v>
      </c>
      <c r="F19" s="11" t="s">
        <v>28</v>
      </c>
      <c r="G19" s="3"/>
      <c r="H19" s="3"/>
      <c r="I19" s="11"/>
      <c r="J19" s="11"/>
      <c r="K19" s="11"/>
      <c r="L19" s="13"/>
      <c r="M19" s="11"/>
      <c r="N19" s="11"/>
      <c r="O19" s="3"/>
      <c r="P19" s="3"/>
    </row>
    <row r="20" spans="1:16">
      <c r="A20" s="3" t="s">
        <v>81</v>
      </c>
      <c r="B20" s="3" t="s">
        <v>82</v>
      </c>
      <c r="C20" s="3" t="s">
        <v>83</v>
      </c>
      <c r="D20" s="12">
        <v>150</v>
      </c>
      <c r="E20" s="3">
        <v>15</v>
      </c>
      <c r="F20" s="3" t="s">
        <v>32</v>
      </c>
      <c r="G20" s="3"/>
      <c r="H20" s="3"/>
      <c r="I20" s="3"/>
      <c r="J20" s="3"/>
      <c r="K20" s="3"/>
      <c r="L20" s="12"/>
      <c r="M20" s="3"/>
      <c r="N20" s="3"/>
      <c r="O20" s="3"/>
      <c r="P20" s="3"/>
    </row>
    <row r="21" spans="1:16">
      <c r="A21" s="11" t="s">
        <v>84</v>
      </c>
      <c r="B21" s="11" t="s">
        <v>85</v>
      </c>
      <c r="C21" s="11" t="s">
        <v>86</v>
      </c>
      <c r="D21" s="13"/>
      <c r="E21" s="11">
        <v>10</v>
      </c>
      <c r="F21" s="11" t="s">
        <v>59</v>
      </c>
      <c r="G21" s="3"/>
      <c r="H21" s="3"/>
      <c r="I21" s="11"/>
      <c r="J21" s="11"/>
      <c r="K21" s="11"/>
      <c r="L21" s="13"/>
      <c r="M21" s="11"/>
      <c r="N21" s="11"/>
      <c r="O21" s="3"/>
      <c r="P21" s="3"/>
    </row>
    <row r="22" spans="1:16">
      <c r="A22" s="3" t="s">
        <v>87</v>
      </c>
      <c r="B22" s="3" t="s">
        <v>88</v>
      </c>
      <c r="C22" s="3" t="s">
        <v>89</v>
      </c>
      <c r="D22" s="12">
        <v>700</v>
      </c>
      <c r="E22" s="3">
        <v>50</v>
      </c>
      <c r="F22" s="3" t="s">
        <v>28</v>
      </c>
      <c r="G22" s="3"/>
      <c r="H22" s="3"/>
      <c r="I22" s="3"/>
      <c r="J22" s="3"/>
      <c r="K22" s="3"/>
      <c r="L22" s="12"/>
      <c r="M22" s="3"/>
      <c r="N22" s="3"/>
      <c r="O22" s="3"/>
      <c r="P22" s="3"/>
    </row>
    <row r="23" spans="1:16">
      <c r="A23" s="11" t="s">
        <v>90</v>
      </c>
      <c r="B23" s="11" t="s">
        <v>91</v>
      </c>
      <c r="C23" s="11" t="s">
        <v>92</v>
      </c>
      <c r="D23" s="13">
        <v>80</v>
      </c>
      <c r="E23" s="11">
        <v>20</v>
      </c>
      <c r="F23" s="11" t="s">
        <v>36</v>
      </c>
      <c r="G23" s="3"/>
      <c r="H23" s="3"/>
      <c r="I23" s="11"/>
      <c r="J23" s="11"/>
      <c r="K23" s="11"/>
      <c r="L23" s="13"/>
      <c r="M23" s="11"/>
      <c r="N23" s="11"/>
      <c r="O23" s="3"/>
      <c r="P23" s="3"/>
    </row>
    <row r="24" spans="1:16">
      <c r="A24" s="3" t="s">
        <v>93</v>
      </c>
      <c r="B24" s="3" t="s">
        <v>94</v>
      </c>
      <c r="C24" s="3" t="s">
        <v>95</v>
      </c>
      <c r="D24" s="12">
        <v>150</v>
      </c>
      <c r="E24" s="3">
        <v>30</v>
      </c>
      <c r="F24" s="3"/>
      <c r="G24" s="3"/>
      <c r="H24" s="3"/>
      <c r="I24" s="3"/>
      <c r="J24" s="3"/>
      <c r="K24" s="3"/>
      <c r="L24" s="12"/>
      <c r="M24" s="3"/>
      <c r="N24" s="3"/>
      <c r="O24" s="3"/>
      <c r="P24" s="3"/>
    </row>
    <row r="25" spans="1:16">
      <c r="A25" s="11" t="s">
        <v>73</v>
      </c>
      <c r="B25" s="11" t="s">
        <v>74</v>
      </c>
      <c r="C25" s="11" t="s">
        <v>75</v>
      </c>
      <c r="D25" s="13">
        <v>50</v>
      </c>
      <c r="E25" s="11">
        <v>35</v>
      </c>
      <c r="F25" s="11" t="s">
        <v>76</v>
      </c>
      <c r="G25" s="3"/>
      <c r="H25" s="3"/>
      <c r="I25" s="3"/>
      <c r="J25" s="3"/>
      <c r="K25" s="3"/>
      <c r="L25" s="12"/>
      <c r="M25" s="3"/>
      <c r="N25" s="3"/>
      <c r="O25" s="3"/>
      <c r="P25" s="3"/>
    </row>
    <row r="26" spans="1:16">
      <c r="A26" s="3" t="s">
        <v>96</v>
      </c>
      <c r="B26" s="3" t="s">
        <v>97</v>
      </c>
      <c r="C26" s="3" t="s">
        <v>98</v>
      </c>
      <c r="D26" s="12">
        <v>800</v>
      </c>
      <c r="E26" s="3">
        <v>45</v>
      </c>
      <c r="F26" s="3" t="s">
        <v>28</v>
      </c>
      <c r="G26" s="3"/>
      <c r="H26" s="3"/>
      <c r="I26" s="11"/>
      <c r="J26" s="11"/>
      <c r="K26" s="11"/>
      <c r="L26" s="13"/>
      <c r="M26" s="11"/>
      <c r="N26" s="11"/>
      <c r="O26" s="3"/>
      <c r="P26" s="3"/>
    </row>
    <row r="27" spans="1:16">
      <c r="A27" s="11" t="s">
        <v>99</v>
      </c>
      <c r="B27" s="11" t="s">
        <v>82</v>
      </c>
      <c r="C27" s="11" t="s">
        <v>100</v>
      </c>
      <c r="D27" s="13"/>
      <c r="E27" s="11">
        <v>25</v>
      </c>
      <c r="F27" s="11" t="s">
        <v>32</v>
      </c>
      <c r="G27" s="3"/>
      <c r="H27" s="3"/>
      <c r="I27" s="3"/>
      <c r="J27" s="3"/>
      <c r="K27" s="3"/>
      <c r="L27" s="12"/>
      <c r="M27" s="3"/>
      <c r="N27" s="3"/>
      <c r="O27" s="3"/>
      <c r="P27" s="3"/>
    </row>
    <row r="28" spans="1:16">
      <c r="A28" s="3" t="s">
        <v>101</v>
      </c>
      <c r="B28" s="3" t="s">
        <v>51</v>
      </c>
      <c r="C28" s="3" t="s">
        <v>102</v>
      </c>
      <c r="D28" s="12">
        <v>400</v>
      </c>
      <c r="E28" s="3">
        <v>40</v>
      </c>
      <c r="F28" s="3" t="s">
        <v>36</v>
      </c>
      <c r="G28" s="3"/>
      <c r="H28" s="3"/>
      <c r="I28" s="3"/>
      <c r="J28" s="3"/>
      <c r="K28" s="3"/>
      <c r="L28" s="12"/>
      <c r="M28" s="3"/>
      <c r="N28" s="3"/>
      <c r="O28" s="3"/>
      <c r="P28" s="3"/>
    </row>
    <row r="29" spans="1:16">
      <c r="A29" s="11" t="s">
        <v>70</v>
      </c>
      <c r="B29" s="11" t="s">
        <v>71</v>
      </c>
      <c r="C29" s="11" t="s">
        <v>72</v>
      </c>
      <c r="D29" s="13">
        <v>250</v>
      </c>
      <c r="E29" s="11">
        <v>20</v>
      </c>
      <c r="F29" s="11" t="s">
        <v>46</v>
      </c>
      <c r="G29" s="3"/>
      <c r="H29" s="3"/>
      <c r="I29" s="11"/>
      <c r="J29" s="11"/>
      <c r="K29" s="11"/>
      <c r="L29" s="13"/>
      <c r="M29" s="11"/>
      <c r="N29" s="11"/>
      <c r="O29" s="3"/>
      <c r="P29" s="3"/>
    </row>
    <row r="30" spans="1:16">
      <c r="A30" s="3" t="s">
        <v>103</v>
      </c>
      <c r="B30" s="3" t="s">
        <v>104</v>
      </c>
      <c r="C30" s="3" t="s">
        <v>105</v>
      </c>
      <c r="D30" s="12">
        <v>60</v>
      </c>
      <c r="E30" s="3">
        <v>30</v>
      </c>
      <c r="F30" s="3" t="s">
        <v>32</v>
      </c>
      <c r="G30" s="3"/>
      <c r="H30" s="3"/>
      <c r="I30" s="3"/>
      <c r="J30" s="3"/>
      <c r="K30" s="3"/>
      <c r="L30" s="12"/>
      <c r="M30" s="3"/>
      <c r="N30" s="3"/>
      <c r="O30" s="3"/>
      <c r="P30" s="3"/>
    </row>
    <row r="31" spans="1:16">
      <c r="A31" s="11" t="s">
        <v>106</v>
      </c>
      <c r="B31" s="11" t="s">
        <v>107</v>
      </c>
      <c r="C31" s="11" t="s">
        <v>108</v>
      </c>
      <c r="D31" s="13">
        <v>40</v>
      </c>
      <c r="E31" s="11">
        <v>10</v>
      </c>
      <c r="F31" s="11" t="s">
        <v>36</v>
      </c>
      <c r="G31" s="3"/>
      <c r="H31" s="3"/>
      <c r="I31" s="11"/>
      <c r="J31" s="11"/>
      <c r="K31" s="11"/>
      <c r="L31" s="13"/>
      <c r="M31" s="11"/>
      <c r="N31" s="11"/>
      <c r="O31" s="3"/>
      <c r="P31" s="3"/>
    </row>
    <row r="32" spans="1:16">
      <c r="A32" s="3" t="s">
        <v>109</v>
      </c>
      <c r="B32" s="3" t="s">
        <v>94</v>
      </c>
      <c r="C32" s="3" t="s">
        <v>110</v>
      </c>
      <c r="D32" s="12">
        <v>130</v>
      </c>
      <c r="E32" s="3">
        <v>5</v>
      </c>
      <c r="F32" s="3" t="s">
        <v>28</v>
      </c>
      <c r="G32" s="3"/>
      <c r="H32" s="3"/>
      <c r="I32" s="11"/>
      <c r="J32" s="11"/>
      <c r="K32" s="11"/>
      <c r="L32" s="13"/>
      <c r="M32" s="11"/>
      <c r="N32" s="11"/>
      <c r="O32" s="3"/>
      <c r="P32" s="3"/>
    </row>
    <row r="33" spans="1:16">
      <c r="A33" s="11" t="s">
        <v>111</v>
      </c>
      <c r="B33" s="11" t="s">
        <v>112</v>
      </c>
      <c r="C33" s="11" t="s">
        <v>113</v>
      </c>
      <c r="D33" s="13">
        <v>50</v>
      </c>
      <c r="E33" s="11">
        <v>50</v>
      </c>
      <c r="F33" s="11" t="s">
        <v>32</v>
      </c>
      <c r="G33" s="3"/>
      <c r="H33" s="3"/>
      <c r="O33" s="3"/>
      <c r="P33" s="3"/>
    </row>
    <row r="34" spans="1:16">
      <c r="A34" s="3" t="s">
        <v>60</v>
      </c>
      <c r="B34" s="3" t="s">
        <v>61</v>
      </c>
      <c r="C34" s="3" t="s">
        <v>62</v>
      </c>
      <c r="D34" s="12">
        <v>950</v>
      </c>
      <c r="E34" s="3">
        <v>25</v>
      </c>
      <c r="F34" s="3" t="s">
        <v>28</v>
      </c>
      <c r="G34" s="3"/>
      <c r="H34" s="3"/>
      <c r="O34" s="3"/>
      <c r="P34" s="3"/>
    </row>
    <row r="35" spans="1:16">
      <c r="A35" s="11" t="s">
        <v>114</v>
      </c>
      <c r="B35" s="11" t="s">
        <v>115</v>
      </c>
      <c r="C35" s="11" t="s">
        <v>116</v>
      </c>
      <c r="D35" s="13">
        <v>100</v>
      </c>
      <c r="E35" s="11">
        <v>20</v>
      </c>
      <c r="F35" s="11" t="s">
        <v>76</v>
      </c>
      <c r="G35" s="3"/>
      <c r="H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1:1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1:1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1:1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1:1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1:1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1:1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1:1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1:1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1:1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1:1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1:1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1:1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1:1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1:1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1:1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1:1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1:1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1:1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1:1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1:1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1:1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1:1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1:1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1:1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1:1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1:1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1:1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1:1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1:1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1:1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1:1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1:1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1:1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1:1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1:1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1:1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1:1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1:1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1:1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1:1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1:1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1:1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1:1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spans="1:1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spans="1:1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1:1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1:1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spans="1:1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spans="1:1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spans="1:1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spans="1:1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1:1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1:1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spans="1:1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autoFilter ref="A1:P35" xr:uid="{01ED94E9-891C-48CF-AAA4-CF15B45568F0}"/>
  <conditionalFormatting sqref="A1:F35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B964-8CA1-4332-90B1-E3769D661220}">
  <dimension ref="A1:I32"/>
  <sheetViews>
    <sheetView workbookViewId="0">
      <selection activeCell="I3" sqref="I3"/>
    </sheetView>
  </sheetViews>
  <sheetFormatPr defaultRowHeight="15"/>
  <cols>
    <col min="1" max="1" width="11.140625" bestFit="1" customWidth="1"/>
    <col min="6" max="6" width="17.42578125" customWidth="1"/>
  </cols>
  <sheetData>
    <row r="1" spans="1:9">
      <c r="A1" s="10" t="s">
        <v>19</v>
      </c>
      <c r="B1" s="10" t="s">
        <v>20</v>
      </c>
      <c r="C1" s="10" t="s">
        <v>21</v>
      </c>
      <c r="D1" s="10" t="s">
        <v>124</v>
      </c>
      <c r="E1" s="10" t="s">
        <v>23</v>
      </c>
      <c r="F1" s="10" t="s">
        <v>24</v>
      </c>
    </row>
    <row r="2" spans="1:9">
      <c r="A2" s="3" t="s">
        <v>25</v>
      </c>
      <c r="B2" s="3" t="s">
        <v>26</v>
      </c>
      <c r="C2" s="3" t="s">
        <v>27</v>
      </c>
      <c r="D2" s="3">
        <v>1000</v>
      </c>
      <c r="E2" s="3">
        <v>30</v>
      </c>
      <c r="F2" s="3" t="s">
        <v>28</v>
      </c>
      <c r="I2" t="s">
        <v>125</v>
      </c>
    </row>
    <row r="3" spans="1:9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</row>
    <row r="4" spans="1:9">
      <c r="A4" s="3" t="s">
        <v>33</v>
      </c>
      <c r="B4" s="3" t="s">
        <v>34</v>
      </c>
      <c r="C4" s="3" t="s">
        <v>35</v>
      </c>
      <c r="D4" s="3">
        <v>130</v>
      </c>
      <c r="E4" s="3">
        <v>40</v>
      </c>
      <c r="F4" s="3" t="s">
        <v>36</v>
      </c>
    </row>
    <row r="5" spans="1:9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</row>
    <row r="6" spans="1:9">
      <c r="A6" s="3" t="s">
        <v>40</v>
      </c>
      <c r="B6" s="3" t="s">
        <v>41</v>
      </c>
      <c r="C6" s="3" t="s">
        <v>42</v>
      </c>
      <c r="D6" s="3">
        <v>70</v>
      </c>
      <c r="E6" s="3">
        <v>20</v>
      </c>
      <c r="F6" s="3"/>
    </row>
    <row r="7" spans="1:9">
      <c r="A7" s="11" t="s">
        <v>43</v>
      </c>
      <c r="B7" s="11" t="s">
        <v>44</v>
      </c>
      <c r="C7" s="11" t="s">
        <v>45</v>
      </c>
      <c r="D7" s="11">
        <v>309.35000000000002</v>
      </c>
      <c r="E7" s="11">
        <v>45</v>
      </c>
      <c r="F7" s="11" t="s">
        <v>46</v>
      </c>
    </row>
    <row r="8" spans="1:9">
      <c r="A8" s="3" t="s">
        <v>47</v>
      </c>
      <c r="B8" s="3" t="s">
        <v>48</v>
      </c>
      <c r="C8" s="3" t="s">
        <v>49</v>
      </c>
      <c r="D8" s="3">
        <v>30</v>
      </c>
      <c r="E8" s="3">
        <v>5</v>
      </c>
      <c r="F8" s="3" t="s">
        <v>32</v>
      </c>
    </row>
    <row r="9" spans="1:9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9">
      <c r="A10" s="3" t="s">
        <v>53</v>
      </c>
      <c r="B10" s="3" t="s">
        <v>54</v>
      </c>
      <c r="C10" s="3" t="s">
        <v>55</v>
      </c>
      <c r="D10" s="3">
        <v>500</v>
      </c>
      <c r="E10" s="3">
        <v>50</v>
      </c>
      <c r="F10" s="3" t="s">
        <v>28</v>
      </c>
    </row>
    <row r="11" spans="1:9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9">
      <c r="A12" s="3" t="s">
        <v>60</v>
      </c>
      <c r="B12" s="3" t="s">
        <v>61</v>
      </c>
      <c r="C12" s="3" t="s">
        <v>62</v>
      </c>
      <c r="D12" s="3">
        <v>950</v>
      </c>
      <c r="E12" s="3">
        <v>25</v>
      </c>
      <c r="F12" s="3" t="s">
        <v>28</v>
      </c>
    </row>
    <row r="13" spans="1:9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 t="s">
        <v>64</v>
      </c>
    </row>
    <row r="14" spans="1:9">
      <c r="A14" s="3" t="s">
        <v>65</v>
      </c>
      <c r="B14" s="3" t="s">
        <v>34</v>
      </c>
      <c r="C14" s="3" t="s">
        <v>66</v>
      </c>
      <c r="D14" s="3">
        <v>120</v>
      </c>
      <c r="E14" s="3">
        <v>35</v>
      </c>
      <c r="F14" s="3"/>
    </row>
    <row r="15" spans="1:9">
      <c r="A15" s="11" t="s">
        <v>67</v>
      </c>
      <c r="B15" s="11" t="s">
        <v>68</v>
      </c>
      <c r="C15" s="11" t="s">
        <v>69</v>
      </c>
      <c r="D15" s="11">
        <v>150</v>
      </c>
      <c r="E15" s="11">
        <v>15</v>
      </c>
      <c r="F15" s="11" t="s">
        <v>46</v>
      </c>
    </row>
    <row r="16" spans="1:9">
      <c r="A16" s="3" t="s">
        <v>70</v>
      </c>
      <c r="B16" s="3" t="s">
        <v>71</v>
      </c>
      <c r="C16" s="3" t="s">
        <v>72</v>
      </c>
      <c r="D16" s="3">
        <v>250</v>
      </c>
      <c r="E16" s="3">
        <v>20</v>
      </c>
      <c r="F16" s="3" t="s">
        <v>46</v>
      </c>
    </row>
    <row r="17" spans="1:6">
      <c r="A17" s="11" t="s">
        <v>73</v>
      </c>
      <c r="B17" s="11" t="s">
        <v>74</v>
      </c>
      <c r="C17" s="11" t="s">
        <v>75</v>
      </c>
      <c r="D17" s="11">
        <v>50</v>
      </c>
      <c r="E17" s="11">
        <v>35</v>
      </c>
      <c r="F17" s="11" t="s">
        <v>76</v>
      </c>
    </row>
    <row r="18" spans="1:6">
      <c r="A18" s="3" t="s">
        <v>77</v>
      </c>
      <c r="B18" s="3" t="s">
        <v>68</v>
      </c>
      <c r="C18" s="3" t="s">
        <v>78</v>
      </c>
      <c r="D18" s="3">
        <v>160</v>
      </c>
      <c r="E18" s="3">
        <v>15</v>
      </c>
      <c r="F18" s="3" t="s">
        <v>46</v>
      </c>
    </row>
    <row r="19" spans="1:6">
      <c r="A19" s="11" t="s">
        <v>79</v>
      </c>
      <c r="B19" s="11" t="s">
        <v>26</v>
      </c>
      <c r="C19" s="11" t="s">
        <v>80</v>
      </c>
      <c r="D19" s="11">
        <v>980</v>
      </c>
      <c r="E19" s="11">
        <v>10</v>
      </c>
      <c r="F19" s="11" t="s">
        <v>28</v>
      </c>
    </row>
    <row r="20" spans="1:6">
      <c r="A20" s="3" t="s">
        <v>81</v>
      </c>
      <c r="B20" s="3" t="s">
        <v>82</v>
      </c>
      <c r="C20" s="3" t="s">
        <v>83</v>
      </c>
      <c r="D20" s="3">
        <v>150</v>
      </c>
      <c r="E20" s="3">
        <v>15</v>
      </c>
      <c r="F20" s="3" t="s">
        <v>32</v>
      </c>
    </row>
    <row r="21" spans="1:6">
      <c r="A21" s="11" t="s">
        <v>84</v>
      </c>
      <c r="B21" s="11" t="s">
        <v>85</v>
      </c>
      <c r="C21" s="11" t="s">
        <v>86</v>
      </c>
      <c r="D21" s="11">
        <v>309.35000000000002</v>
      </c>
      <c r="E21" s="11">
        <v>10</v>
      </c>
      <c r="F21" s="11" t="s">
        <v>59</v>
      </c>
    </row>
    <row r="22" spans="1:6">
      <c r="A22" s="3" t="s">
        <v>87</v>
      </c>
      <c r="B22" s="3" t="s">
        <v>88</v>
      </c>
      <c r="C22" s="3" t="s">
        <v>89</v>
      </c>
      <c r="D22" s="3">
        <v>700</v>
      </c>
      <c r="E22" s="3">
        <v>50</v>
      </c>
      <c r="F22" s="3" t="s">
        <v>28</v>
      </c>
    </row>
    <row r="23" spans="1:6">
      <c r="A23" s="11" t="s">
        <v>90</v>
      </c>
      <c r="B23" s="11" t="s">
        <v>91</v>
      </c>
      <c r="C23" s="11" t="s">
        <v>92</v>
      </c>
      <c r="D23" s="11">
        <v>80</v>
      </c>
      <c r="E23" s="11">
        <v>20</v>
      </c>
      <c r="F23" s="11" t="s">
        <v>36</v>
      </c>
    </row>
    <row r="24" spans="1:6">
      <c r="A24" s="3" t="s">
        <v>93</v>
      </c>
      <c r="B24" s="3" t="s">
        <v>94</v>
      </c>
      <c r="C24" s="3" t="s">
        <v>95</v>
      </c>
      <c r="D24" s="3">
        <v>150</v>
      </c>
      <c r="E24" s="3">
        <v>30</v>
      </c>
      <c r="F24" s="3"/>
    </row>
    <row r="25" spans="1:6">
      <c r="A25" s="3" t="s">
        <v>96</v>
      </c>
      <c r="B25" s="3" t="s">
        <v>97</v>
      </c>
      <c r="C25" s="3" t="s">
        <v>98</v>
      </c>
      <c r="D25" s="3">
        <v>800</v>
      </c>
      <c r="E25" s="3">
        <v>45</v>
      </c>
      <c r="F25" s="3" t="s">
        <v>28</v>
      </c>
    </row>
    <row r="26" spans="1:6">
      <c r="A26" s="11" t="s">
        <v>99</v>
      </c>
      <c r="B26" s="11" t="s">
        <v>82</v>
      </c>
      <c r="C26" s="11" t="s">
        <v>100</v>
      </c>
      <c r="D26" s="11">
        <v>309.35000000000002</v>
      </c>
      <c r="E26" s="11">
        <v>25</v>
      </c>
      <c r="F26" s="11" t="s">
        <v>32</v>
      </c>
    </row>
    <row r="27" spans="1:6">
      <c r="A27" s="3" t="s">
        <v>101</v>
      </c>
      <c r="B27" s="3" t="s">
        <v>51</v>
      </c>
      <c r="C27" s="3" t="s">
        <v>102</v>
      </c>
      <c r="D27" s="3">
        <v>400</v>
      </c>
      <c r="E27" s="3">
        <v>40</v>
      </c>
      <c r="F27" s="3" t="s">
        <v>36</v>
      </c>
    </row>
    <row r="28" spans="1:6">
      <c r="A28" s="3" t="s">
        <v>103</v>
      </c>
      <c r="B28" s="3" t="s">
        <v>104</v>
      </c>
      <c r="C28" s="3" t="s">
        <v>105</v>
      </c>
      <c r="D28" s="3">
        <v>60</v>
      </c>
      <c r="E28" s="3">
        <v>30</v>
      </c>
      <c r="F28" s="3" t="s">
        <v>32</v>
      </c>
    </row>
    <row r="29" spans="1:6">
      <c r="A29" s="11" t="s">
        <v>106</v>
      </c>
      <c r="B29" s="11" t="s">
        <v>107</v>
      </c>
      <c r="C29" s="11" t="s">
        <v>108</v>
      </c>
      <c r="D29" s="11">
        <v>40</v>
      </c>
      <c r="E29" s="11">
        <v>10</v>
      </c>
      <c r="F29" s="11" t="s">
        <v>36</v>
      </c>
    </row>
    <row r="30" spans="1:6">
      <c r="A30" s="3" t="s">
        <v>109</v>
      </c>
      <c r="B30" s="3" t="s">
        <v>94</v>
      </c>
      <c r="C30" s="3" t="s">
        <v>110</v>
      </c>
      <c r="D30" s="3">
        <v>130</v>
      </c>
      <c r="E30" s="3">
        <v>5</v>
      </c>
      <c r="F30" s="3" t="s">
        <v>28</v>
      </c>
    </row>
    <row r="31" spans="1:6">
      <c r="A31" s="11" t="s">
        <v>111</v>
      </c>
      <c r="B31" s="11" t="s">
        <v>112</v>
      </c>
      <c r="C31" s="11" t="s">
        <v>113</v>
      </c>
      <c r="D31" s="11">
        <v>50</v>
      </c>
      <c r="E31" s="11">
        <v>50</v>
      </c>
      <c r="F31" s="11" t="s">
        <v>32</v>
      </c>
    </row>
    <row r="32" spans="1:6">
      <c r="A32" s="11" t="s">
        <v>114</v>
      </c>
      <c r="B32" s="11" t="s">
        <v>115</v>
      </c>
      <c r="C32" s="11" t="s">
        <v>116</v>
      </c>
      <c r="D32" s="11">
        <v>100</v>
      </c>
      <c r="E32" s="11">
        <v>20</v>
      </c>
      <c r="F32" s="11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8DCD-FAEB-4E2B-BE56-4B20DA9F5325}">
  <dimension ref="A1:L36"/>
  <sheetViews>
    <sheetView workbookViewId="0">
      <selection sqref="A1:F35"/>
    </sheetView>
  </sheetViews>
  <sheetFormatPr defaultRowHeight="15"/>
  <cols>
    <col min="9" max="9" width="35.28515625" customWidth="1"/>
    <col min="12" max="12" width="32.140625" customWidth="1"/>
  </cols>
  <sheetData>
    <row r="1" spans="1:12" ht="60.75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I1" s="16" t="s">
        <v>126</v>
      </c>
      <c r="L1" s="16" t="s">
        <v>127</v>
      </c>
    </row>
    <row r="2" spans="1:12">
      <c r="A2" s="3" t="s">
        <v>25</v>
      </c>
      <c r="B2" s="3" t="s">
        <v>61</v>
      </c>
      <c r="C2" s="3" t="s">
        <v>27</v>
      </c>
      <c r="D2" s="12">
        <v>1000</v>
      </c>
      <c r="E2" s="3">
        <v>30</v>
      </c>
      <c r="F2" s="3" t="s">
        <v>28</v>
      </c>
      <c r="I2" s="10" t="s">
        <v>19</v>
      </c>
    </row>
    <row r="3" spans="1:12">
      <c r="A3" s="11" t="s">
        <v>29</v>
      </c>
      <c r="B3" s="11" t="s">
        <v>30</v>
      </c>
      <c r="C3" s="11" t="s">
        <v>31</v>
      </c>
      <c r="D3" s="13">
        <v>80</v>
      </c>
      <c r="E3" s="11">
        <v>15</v>
      </c>
      <c r="F3" s="11" t="s">
        <v>32</v>
      </c>
      <c r="I3" s="3" t="s">
        <v>25</v>
      </c>
      <c r="J3" t="str">
        <f>LEFT(I3,6)</f>
        <v>28-JAN</v>
      </c>
      <c r="K3" t="str">
        <f>RIGHT(I3,2)</f>
        <v>US</v>
      </c>
      <c r="L3" t="str">
        <f>_xlfn.CONCAT(C2," ",B2)</f>
        <v>Dell Laptop</v>
      </c>
    </row>
    <row r="4" spans="1:12">
      <c r="A4" s="3" t="s">
        <v>33</v>
      </c>
      <c r="B4" s="3" t="s">
        <v>34</v>
      </c>
      <c r="C4" s="3" t="s">
        <v>35</v>
      </c>
      <c r="D4" s="12">
        <v>130</v>
      </c>
      <c r="E4" s="3">
        <v>40</v>
      </c>
      <c r="F4" s="3" t="s">
        <v>36</v>
      </c>
      <c r="I4" s="11" t="s">
        <v>29</v>
      </c>
      <c r="J4" t="str">
        <f t="shared" ref="J4:J36" si="0">LEFT(I4,6)</f>
        <v>15-FEB</v>
      </c>
      <c r="K4" t="str">
        <f t="shared" ref="K4:K36" si="1">RIGHT(I4,2)</f>
        <v>US</v>
      </c>
      <c r="L4" t="str">
        <f t="shared" ref="L4:L36" si="2">_xlfn.CONCAT(C3," ",B3)</f>
        <v>Nike Sneakers</v>
      </c>
    </row>
    <row r="5" spans="1:12">
      <c r="A5" s="11" t="s">
        <v>37</v>
      </c>
      <c r="B5" s="11" t="s">
        <v>97</v>
      </c>
      <c r="C5" s="11" t="s">
        <v>39</v>
      </c>
      <c r="D5" s="13">
        <v>900</v>
      </c>
      <c r="E5" s="11">
        <v>25</v>
      </c>
      <c r="F5" s="11" t="s">
        <v>28</v>
      </c>
      <c r="I5" s="3" t="s">
        <v>33</v>
      </c>
      <c r="J5" t="str">
        <f t="shared" si="0"/>
        <v>03-MAR</v>
      </c>
      <c r="K5" t="str">
        <f t="shared" si="1"/>
        <v>US</v>
      </c>
      <c r="L5" t="str">
        <f t="shared" si="2"/>
        <v>Keurig Coffee Maker</v>
      </c>
    </row>
    <row r="6" spans="1:12">
      <c r="A6" s="3" t="s">
        <v>40</v>
      </c>
      <c r="B6" s="3" t="s">
        <v>41</v>
      </c>
      <c r="C6" s="3" t="s">
        <v>42</v>
      </c>
      <c r="D6" s="12">
        <v>70</v>
      </c>
      <c r="E6" s="3">
        <v>20</v>
      </c>
      <c r="F6" s="3" t="s">
        <v>32</v>
      </c>
      <c r="I6" s="11" t="s">
        <v>37</v>
      </c>
      <c r="J6" t="str">
        <f t="shared" si="0"/>
        <v>11-APR</v>
      </c>
      <c r="K6" t="str">
        <f t="shared" si="1"/>
        <v>US</v>
      </c>
      <c r="L6" t="str">
        <f t="shared" si="2"/>
        <v>Samsung Smartphone</v>
      </c>
    </row>
    <row r="7" spans="1:12">
      <c r="A7" s="11" t="s">
        <v>43</v>
      </c>
      <c r="B7" s="11" t="s">
        <v>44</v>
      </c>
      <c r="C7" s="11" t="s">
        <v>45</v>
      </c>
      <c r="D7" s="13">
        <v>309.35000000000002</v>
      </c>
      <c r="E7" s="11">
        <v>45</v>
      </c>
      <c r="F7" s="11" t="s">
        <v>28</v>
      </c>
      <c r="I7" s="3" t="s">
        <v>40</v>
      </c>
      <c r="J7" t="str">
        <f t="shared" si="0"/>
        <v>22-MAY</v>
      </c>
      <c r="K7" t="str">
        <f t="shared" si="1"/>
        <v>US</v>
      </c>
      <c r="L7" t="str">
        <f t="shared" si="2"/>
        <v>North Face Backpack</v>
      </c>
    </row>
    <row r="8" spans="1:12">
      <c r="A8" s="3" t="s">
        <v>47</v>
      </c>
      <c r="B8" s="3" t="s">
        <v>128</v>
      </c>
      <c r="C8" s="3" t="s">
        <v>49</v>
      </c>
      <c r="D8" s="12">
        <v>30</v>
      </c>
      <c r="E8" s="3">
        <v>5</v>
      </c>
      <c r="F8" s="3" t="s">
        <v>32</v>
      </c>
      <c r="I8" s="11" t="s">
        <v>43</v>
      </c>
      <c r="J8" t="str">
        <f t="shared" si="0"/>
        <v>07-JUN</v>
      </c>
      <c r="K8" t="str">
        <f t="shared" si="1"/>
        <v>UK</v>
      </c>
      <c r="L8" t="str">
        <f t="shared" si="2"/>
        <v>Sony Headphones</v>
      </c>
    </row>
    <row r="9" spans="1:12">
      <c r="A9" s="11" t="s">
        <v>50</v>
      </c>
      <c r="B9" s="11" t="s">
        <v>51</v>
      </c>
      <c r="C9" s="11" t="s">
        <v>52</v>
      </c>
      <c r="D9" s="13">
        <v>90</v>
      </c>
      <c r="E9" s="11">
        <v>35</v>
      </c>
      <c r="F9" s="11" t="s">
        <v>36</v>
      </c>
      <c r="I9" s="3" t="s">
        <v>47</v>
      </c>
      <c r="J9" t="str">
        <f t="shared" si="0"/>
        <v>19-JUL</v>
      </c>
      <c r="K9" t="str">
        <f t="shared" si="1"/>
        <v>UK</v>
      </c>
      <c r="L9" t="str">
        <f t="shared" si="2"/>
        <v>Adidas T-Shirt</v>
      </c>
    </row>
    <row r="10" spans="1:12">
      <c r="A10" s="3" t="s">
        <v>53</v>
      </c>
      <c r="B10" s="3" t="s">
        <v>54</v>
      </c>
      <c r="C10" s="3" t="s">
        <v>55</v>
      </c>
      <c r="D10" s="12">
        <v>500</v>
      </c>
      <c r="E10" s="3">
        <v>50</v>
      </c>
      <c r="F10" s="3" t="s">
        <v>28</v>
      </c>
      <c r="I10" s="11" t="s">
        <v>50</v>
      </c>
      <c r="J10" t="str">
        <f t="shared" si="0"/>
        <v>23-AUG</v>
      </c>
      <c r="K10" t="str">
        <f t="shared" si="1"/>
        <v>UK</v>
      </c>
      <c r="L10" t="str">
        <f t="shared" si="2"/>
        <v>Ninja Blender</v>
      </c>
    </row>
    <row r="11" spans="1:12">
      <c r="A11" s="11" t="s">
        <v>56</v>
      </c>
      <c r="B11" s="11" t="s">
        <v>57</v>
      </c>
      <c r="C11" s="11" t="s">
        <v>58</v>
      </c>
      <c r="D11" s="13">
        <v>130</v>
      </c>
      <c r="E11" s="11">
        <v>10</v>
      </c>
      <c r="F11" s="11" t="s">
        <v>59</v>
      </c>
      <c r="I11" s="3" t="s">
        <v>53</v>
      </c>
      <c r="J11" t="str">
        <f t="shared" si="0"/>
        <v>05-SEP</v>
      </c>
      <c r="K11" t="str">
        <f t="shared" si="1"/>
        <v>UK</v>
      </c>
      <c r="L11" t="str">
        <f t="shared" si="2"/>
        <v>Apple Tablet</v>
      </c>
    </row>
    <row r="12" spans="1:12">
      <c r="A12" s="3" t="s">
        <v>60</v>
      </c>
      <c r="B12" s="3" t="s">
        <v>61</v>
      </c>
      <c r="C12" s="3" t="s">
        <v>62</v>
      </c>
      <c r="D12" s="12">
        <v>950</v>
      </c>
      <c r="E12" s="3">
        <v>25</v>
      </c>
      <c r="F12" s="3" t="s">
        <v>28</v>
      </c>
      <c r="I12" s="11" t="s">
        <v>56</v>
      </c>
      <c r="J12" t="str">
        <f t="shared" si="0"/>
        <v>14-OCT</v>
      </c>
      <c r="K12" t="str">
        <f t="shared" si="1"/>
        <v>UK</v>
      </c>
      <c r="L12" t="str">
        <f t="shared" si="2"/>
        <v>Timberland Hiking Boots</v>
      </c>
    </row>
    <row r="13" spans="1:12">
      <c r="A13" s="11" t="s">
        <v>63</v>
      </c>
      <c r="B13" s="11" t="s">
        <v>30</v>
      </c>
      <c r="C13" s="11" t="s">
        <v>49</v>
      </c>
      <c r="D13" s="13">
        <v>90</v>
      </c>
      <c r="E13" s="11">
        <v>40</v>
      </c>
      <c r="F13" s="11" t="s">
        <v>32</v>
      </c>
      <c r="I13" s="3" t="s">
        <v>60</v>
      </c>
      <c r="J13" t="str">
        <f t="shared" si="0"/>
        <v>17-JUN</v>
      </c>
      <c r="K13" t="str">
        <f t="shared" si="1"/>
        <v>IN</v>
      </c>
      <c r="L13" t="str">
        <f t="shared" si="2"/>
        <v>HP Laptop</v>
      </c>
    </row>
    <row r="14" spans="1:12">
      <c r="A14" s="3" t="s">
        <v>65</v>
      </c>
      <c r="B14" s="3" t="s">
        <v>34</v>
      </c>
      <c r="C14" s="3" t="s">
        <v>66</v>
      </c>
      <c r="D14" s="12">
        <v>120</v>
      </c>
      <c r="E14" s="3">
        <v>35</v>
      </c>
      <c r="F14" s="3" t="s">
        <v>36</v>
      </c>
      <c r="I14" s="11" t="s">
        <v>63</v>
      </c>
      <c r="J14" t="str">
        <f t="shared" si="0"/>
        <v>25-NOV</v>
      </c>
      <c r="K14" t="str">
        <f t="shared" si="1"/>
        <v>AU</v>
      </c>
      <c r="L14" t="str">
        <f t="shared" si="2"/>
        <v>Adidas Sneakers</v>
      </c>
    </row>
    <row r="15" spans="1:12">
      <c r="A15" s="11" t="s">
        <v>67</v>
      </c>
      <c r="B15" s="11" t="s">
        <v>68</v>
      </c>
      <c r="C15" s="11" t="s">
        <v>69</v>
      </c>
      <c r="D15" s="13">
        <v>150</v>
      </c>
      <c r="E15" s="11">
        <v>15</v>
      </c>
      <c r="F15" s="11" t="s">
        <v>28</v>
      </c>
      <c r="I15" s="3" t="s">
        <v>65</v>
      </c>
      <c r="J15" t="str">
        <f t="shared" si="0"/>
        <v>08-DEC</v>
      </c>
      <c r="K15" t="str">
        <f t="shared" si="1"/>
        <v>DE</v>
      </c>
      <c r="L15" t="str">
        <f t="shared" si="2"/>
        <v>Nespresso Coffee Maker</v>
      </c>
    </row>
    <row r="16" spans="1:12">
      <c r="A16" s="3" t="s">
        <v>70</v>
      </c>
      <c r="B16" s="3" t="s">
        <v>44</v>
      </c>
      <c r="C16" s="3" t="s">
        <v>72</v>
      </c>
      <c r="D16" s="12">
        <v>250</v>
      </c>
      <c r="E16" s="3">
        <v>20</v>
      </c>
      <c r="F16" s="3" t="s">
        <v>28</v>
      </c>
      <c r="I16" s="11" t="s">
        <v>67</v>
      </c>
      <c r="J16" t="str">
        <f t="shared" si="0"/>
        <v>18-FEB</v>
      </c>
      <c r="K16" t="str">
        <f t="shared" si="1"/>
        <v>CA</v>
      </c>
      <c r="L16" t="str">
        <f t="shared" si="2"/>
        <v>Fitbit Smartwatch</v>
      </c>
    </row>
    <row r="17" spans="1:12">
      <c r="A17" s="11" t="s">
        <v>73</v>
      </c>
      <c r="B17" s="11" t="s">
        <v>74</v>
      </c>
      <c r="C17" s="11" t="s">
        <v>75</v>
      </c>
      <c r="D17" s="13">
        <v>50</v>
      </c>
      <c r="E17" s="11">
        <v>35</v>
      </c>
      <c r="F17" s="11" t="s">
        <v>76</v>
      </c>
      <c r="I17" s="3" t="s">
        <v>70</v>
      </c>
      <c r="J17" t="str">
        <f t="shared" si="0"/>
        <v>16-APR</v>
      </c>
      <c r="K17" t="str">
        <f t="shared" si="1"/>
        <v>ES</v>
      </c>
      <c r="L17" t="str">
        <f t="shared" si="2"/>
        <v>Bose Headphones</v>
      </c>
    </row>
    <row r="18" spans="1:12">
      <c r="A18" s="3" t="s">
        <v>77</v>
      </c>
      <c r="B18" s="3" t="s">
        <v>68</v>
      </c>
      <c r="C18" s="3" t="s">
        <v>78</v>
      </c>
      <c r="D18" s="12">
        <v>160</v>
      </c>
      <c r="E18" s="3">
        <v>15</v>
      </c>
      <c r="F18" s="3" t="s">
        <v>28</v>
      </c>
      <c r="I18" s="11" t="s">
        <v>73</v>
      </c>
      <c r="J18" t="str">
        <f t="shared" si="0"/>
        <v>21-AUG</v>
      </c>
      <c r="K18" t="str">
        <f t="shared" si="1"/>
        <v>CA</v>
      </c>
      <c r="L18" t="str">
        <f t="shared" si="2"/>
        <v>Samsonite Laptop Bag</v>
      </c>
    </row>
    <row r="19" spans="1:12">
      <c r="A19" s="11" t="s">
        <v>79</v>
      </c>
      <c r="B19" s="11" t="s">
        <v>61</v>
      </c>
      <c r="C19" s="11" t="s">
        <v>80</v>
      </c>
      <c r="D19" s="13">
        <v>980</v>
      </c>
      <c r="E19" s="11">
        <v>10</v>
      </c>
      <c r="F19" s="11" t="s">
        <v>28</v>
      </c>
      <c r="I19" s="3" t="s">
        <v>77</v>
      </c>
      <c r="J19" t="str">
        <f t="shared" si="0"/>
        <v>20-AUG</v>
      </c>
      <c r="K19" t="str">
        <f t="shared" si="1"/>
        <v>CN</v>
      </c>
      <c r="L19" t="str">
        <f t="shared" si="2"/>
        <v>Huawei Smartwatch</v>
      </c>
    </row>
    <row r="20" spans="1:12">
      <c r="A20" s="3" t="s">
        <v>81</v>
      </c>
      <c r="B20" s="3" t="s">
        <v>82</v>
      </c>
      <c r="C20" s="3" t="s">
        <v>83</v>
      </c>
      <c r="D20" s="12">
        <v>150</v>
      </c>
      <c r="E20" s="3">
        <v>15</v>
      </c>
      <c r="F20" s="3" t="s">
        <v>32</v>
      </c>
      <c r="I20" s="11" t="s">
        <v>79</v>
      </c>
      <c r="J20" t="str">
        <f t="shared" si="0"/>
        <v>27-JAN</v>
      </c>
      <c r="K20" t="str">
        <f t="shared" si="1"/>
        <v>IT</v>
      </c>
      <c r="L20" t="str">
        <f t="shared" si="2"/>
        <v>Asus Laptop</v>
      </c>
    </row>
    <row r="21" spans="1:12">
      <c r="A21" s="11" t="s">
        <v>84</v>
      </c>
      <c r="B21" s="11" t="s">
        <v>85</v>
      </c>
      <c r="C21" s="11" t="s">
        <v>86</v>
      </c>
      <c r="D21" s="13">
        <v>309.35000000000002</v>
      </c>
      <c r="E21" s="11">
        <v>10</v>
      </c>
      <c r="F21" s="11" t="s">
        <v>59</v>
      </c>
      <c r="I21" s="3" t="s">
        <v>81</v>
      </c>
      <c r="J21" t="str">
        <f t="shared" si="0"/>
        <v>01-MAR</v>
      </c>
      <c r="K21" t="str">
        <f t="shared" si="1"/>
        <v>UK</v>
      </c>
      <c r="L21" t="str">
        <f t="shared" si="2"/>
        <v>Oakley Sunglasses</v>
      </c>
    </row>
    <row r="22" spans="1:12">
      <c r="A22" s="3" t="s">
        <v>87</v>
      </c>
      <c r="B22" s="3" t="s">
        <v>88</v>
      </c>
      <c r="C22" s="3" t="s">
        <v>89</v>
      </c>
      <c r="D22" s="12">
        <v>700</v>
      </c>
      <c r="E22" s="3">
        <v>50</v>
      </c>
      <c r="F22" s="3" t="s">
        <v>28</v>
      </c>
      <c r="I22" s="11" t="s">
        <v>84</v>
      </c>
      <c r="J22" t="str">
        <f t="shared" si="0"/>
        <v>14-AUG</v>
      </c>
      <c r="K22" t="str">
        <f t="shared" si="1"/>
        <v>US</v>
      </c>
      <c r="L22" t="str">
        <f t="shared" si="2"/>
        <v>Coleman Camping Tent</v>
      </c>
    </row>
    <row r="23" spans="1:12">
      <c r="A23" s="11" t="s">
        <v>90</v>
      </c>
      <c r="B23" s="11" t="s">
        <v>91</v>
      </c>
      <c r="C23" s="11" t="s">
        <v>92</v>
      </c>
      <c r="D23" s="13">
        <v>80</v>
      </c>
      <c r="E23" s="11">
        <v>20</v>
      </c>
      <c r="F23" s="11" t="s">
        <v>36</v>
      </c>
      <c r="I23" s="3" t="s">
        <v>87</v>
      </c>
      <c r="J23" t="str">
        <f t="shared" si="0"/>
        <v>14-MAY</v>
      </c>
      <c r="K23" t="str">
        <f t="shared" si="1"/>
        <v>RU</v>
      </c>
      <c r="L23" t="str">
        <f t="shared" si="2"/>
        <v>Nikon Camera</v>
      </c>
    </row>
    <row r="24" spans="1:12">
      <c r="A24" s="3" t="s">
        <v>93</v>
      </c>
      <c r="B24" s="3" t="s">
        <v>94</v>
      </c>
      <c r="C24" s="3" t="s">
        <v>95</v>
      </c>
      <c r="D24" s="12">
        <v>150</v>
      </c>
      <c r="E24" s="3">
        <v>30</v>
      </c>
      <c r="F24" s="3" t="s">
        <v>28</v>
      </c>
      <c r="I24" s="11" t="s">
        <v>90</v>
      </c>
      <c r="J24" t="str">
        <f t="shared" si="0"/>
        <v>09-JAN</v>
      </c>
      <c r="K24" t="str">
        <f t="shared" si="1"/>
        <v>CA</v>
      </c>
      <c r="L24" t="str">
        <f t="shared" si="2"/>
        <v>Panasonic Microwave</v>
      </c>
    </row>
    <row r="25" spans="1:12">
      <c r="A25" s="11" t="s">
        <v>73</v>
      </c>
      <c r="B25" s="11" t="s">
        <v>74</v>
      </c>
      <c r="C25" s="11" t="s">
        <v>75</v>
      </c>
      <c r="D25" s="13">
        <v>50</v>
      </c>
      <c r="E25" s="11">
        <v>35</v>
      </c>
      <c r="F25" s="11" t="s">
        <v>76</v>
      </c>
      <c r="I25" s="3" t="s">
        <v>93</v>
      </c>
      <c r="J25" t="str">
        <f t="shared" si="0"/>
        <v>19-JUL</v>
      </c>
      <c r="K25" t="str">
        <f t="shared" si="1"/>
        <v>BR</v>
      </c>
      <c r="L25" t="str">
        <f t="shared" si="2"/>
        <v>Xiaomi Fitness Tracker</v>
      </c>
    </row>
    <row r="26" spans="1:12">
      <c r="A26" s="3" t="s">
        <v>96</v>
      </c>
      <c r="B26" s="3" t="s">
        <v>97</v>
      </c>
      <c r="C26" s="3" t="s">
        <v>98</v>
      </c>
      <c r="D26" s="12">
        <v>800</v>
      </c>
      <c r="E26" s="3">
        <v>45</v>
      </c>
      <c r="F26" s="3" t="s">
        <v>28</v>
      </c>
      <c r="I26" s="11" t="s">
        <v>73</v>
      </c>
      <c r="J26" t="str">
        <f t="shared" si="0"/>
        <v>21-AUG</v>
      </c>
      <c r="K26" t="str">
        <f t="shared" si="1"/>
        <v>CA</v>
      </c>
      <c r="L26" t="str">
        <f t="shared" si="2"/>
        <v>Samsonite Laptop Bag</v>
      </c>
    </row>
    <row r="27" spans="1:12">
      <c r="A27" s="11" t="s">
        <v>99</v>
      </c>
      <c r="B27" s="11" t="s">
        <v>82</v>
      </c>
      <c r="C27" s="11" t="s">
        <v>100</v>
      </c>
      <c r="D27" s="13">
        <v>309.35000000000002</v>
      </c>
      <c r="E27" s="11">
        <v>25</v>
      </c>
      <c r="F27" s="11" t="s">
        <v>32</v>
      </c>
      <c r="I27" s="3" t="s">
        <v>96</v>
      </c>
      <c r="J27" t="str">
        <f t="shared" si="0"/>
        <v>29-SEP</v>
      </c>
      <c r="K27" t="str">
        <f t="shared" si="1"/>
        <v>CA</v>
      </c>
      <c r="L27" t="str">
        <f t="shared" si="2"/>
        <v>Google Smartphone</v>
      </c>
    </row>
    <row r="28" spans="1:12">
      <c r="A28" s="3" t="s">
        <v>101</v>
      </c>
      <c r="B28" s="3" t="s">
        <v>51</v>
      </c>
      <c r="C28" s="3" t="s">
        <v>102</v>
      </c>
      <c r="D28" s="12">
        <v>400</v>
      </c>
      <c r="E28" s="3">
        <v>40</v>
      </c>
      <c r="F28" s="3" t="s">
        <v>36</v>
      </c>
      <c r="I28" s="11" t="s">
        <v>99</v>
      </c>
      <c r="J28" t="str">
        <f t="shared" si="0"/>
        <v>03-JUN</v>
      </c>
      <c r="K28" t="str">
        <f t="shared" si="1"/>
        <v>CA</v>
      </c>
      <c r="L28" t="str">
        <f t="shared" si="2"/>
        <v>Ray-Ban Sunglasses</v>
      </c>
    </row>
    <row r="29" spans="1:12">
      <c r="A29" s="11" t="s">
        <v>70</v>
      </c>
      <c r="B29" s="11" t="s">
        <v>44</v>
      </c>
      <c r="C29" s="11" t="s">
        <v>72</v>
      </c>
      <c r="D29" s="13">
        <v>250</v>
      </c>
      <c r="E29" s="11">
        <v>20</v>
      </c>
      <c r="F29" s="11" t="s">
        <v>28</v>
      </c>
      <c r="I29" s="3" t="s">
        <v>101</v>
      </c>
      <c r="J29" t="str">
        <f t="shared" si="0"/>
        <v>11-JUL</v>
      </c>
      <c r="K29" t="str">
        <f t="shared" si="1"/>
        <v>CA</v>
      </c>
      <c r="L29" t="str">
        <f t="shared" si="2"/>
        <v>Vitamix Blender</v>
      </c>
    </row>
    <row r="30" spans="1:12">
      <c r="A30" s="3" t="s">
        <v>103</v>
      </c>
      <c r="B30" s="3" t="s">
        <v>104</v>
      </c>
      <c r="C30" s="3" t="s">
        <v>105</v>
      </c>
      <c r="D30" s="12">
        <v>60</v>
      </c>
      <c r="E30" s="3">
        <v>30</v>
      </c>
      <c r="F30" s="3" t="s">
        <v>32</v>
      </c>
      <c r="I30" s="11" t="s">
        <v>70</v>
      </c>
      <c r="J30" t="str">
        <f t="shared" si="0"/>
        <v>16-APR</v>
      </c>
      <c r="K30" t="str">
        <f t="shared" si="1"/>
        <v>ES</v>
      </c>
      <c r="L30" t="str">
        <f t="shared" si="2"/>
        <v>Bose Headphones</v>
      </c>
    </row>
    <row r="31" spans="1:12">
      <c r="A31" s="11" t="s">
        <v>106</v>
      </c>
      <c r="B31" s="11" t="s">
        <v>107</v>
      </c>
      <c r="C31" s="11" t="s">
        <v>108</v>
      </c>
      <c r="D31" s="13">
        <v>40</v>
      </c>
      <c r="E31" s="11">
        <v>10</v>
      </c>
      <c r="F31" s="11" t="s">
        <v>36</v>
      </c>
      <c r="I31" s="3" t="s">
        <v>103</v>
      </c>
      <c r="J31" t="str">
        <f t="shared" si="0"/>
        <v>07-MAR</v>
      </c>
      <c r="K31" t="str">
        <f t="shared" si="1"/>
        <v>CA</v>
      </c>
      <c r="L31" t="str">
        <f t="shared" si="2"/>
        <v>Zara Dress</v>
      </c>
    </row>
    <row r="32" spans="1:12">
      <c r="A32" s="3" t="s">
        <v>109</v>
      </c>
      <c r="B32" s="3" t="s">
        <v>94</v>
      </c>
      <c r="C32" s="3" t="s">
        <v>110</v>
      </c>
      <c r="D32" s="12">
        <v>130</v>
      </c>
      <c r="E32" s="3">
        <v>5</v>
      </c>
      <c r="F32" s="3" t="s">
        <v>28</v>
      </c>
      <c r="I32" s="11" t="s">
        <v>106</v>
      </c>
      <c r="J32" t="str">
        <f t="shared" si="0"/>
        <v>13-APR</v>
      </c>
      <c r="K32" t="str">
        <f t="shared" si="1"/>
        <v>CA</v>
      </c>
      <c r="L32" t="str">
        <f t="shared" si="2"/>
        <v>Hamilton Toaster</v>
      </c>
    </row>
    <row r="33" spans="1:12">
      <c r="A33" s="11" t="s">
        <v>111</v>
      </c>
      <c r="B33" s="11" t="s">
        <v>112</v>
      </c>
      <c r="C33" s="11" t="s">
        <v>113</v>
      </c>
      <c r="D33" s="13">
        <v>50</v>
      </c>
      <c r="E33" s="11">
        <v>50</v>
      </c>
      <c r="F33" s="11" t="s">
        <v>32</v>
      </c>
      <c r="I33" s="3" t="s">
        <v>109</v>
      </c>
      <c r="J33" t="str">
        <f t="shared" si="0"/>
        <v>24-MAY</v>
      </c>
      <c r="K33" t="str">
        <f t="shared" si="1"/>
        <v>CA</v>
      </c>
      <c r="L33" t="str">
        <f t="shared" si="2"/>
        <v>Garmin Fitness Tracker</v>
      </c>
    </row>
    <row r="34" spans="1:12">
      <c r="A34" s="3" t="s">
        <v>60</v>
      </c>
      <c r="B34" s="3" t="s">
        <v>61</v>
      </c>
      <c r="C34" s="3" t="s">
        <v>62</v>
      </c>
      <c r="D34" s="12">
        <v>950</v>
      </c>
      <c r="E34" s="3">
        <v>25</v>
      </c>
      <c r="F34" s="3" t="s">
        <v>28</v>
      </c>
      <c r="I34" s="11" t="s">
        <v>111</v>
      </c>
      <c r="J34" t="str">
        <f t="shared" si="0"/>
        <v>02-DEC</v>
      </c>
      <c r="K34" t="str">
        <f t="shared" si="1"/>
        <v>CA</v>
      </c>
      <c r="L34" t="str">
        <f t="shared" si="2"/>
        <v>Levi's Jeans</v>
      </c>
    </row>
    <row r="35" spans="1:12">
      <c r="A35" s="11" t="s">
        <v>114</v>
      </c>
      <c r="B35" s="11" t="s">
        <v>115</v>
      </c>
      <c r="C35" s="11" t="s">
        <v>116</v>
      </c>
      <c r="D35" s="13">
        <v>100</v>
      </c>
      <c r="E35" s="11">
        <v>20</v>
      </c>
      <c r="F35" s="11" t="s">
        <v>76</v>
      </c>
      <c r="I35" s="3" t="s">
        <v>60</v>
      </c>
      <c r="J35" t="str">
        <f t="shared" si="0"/>
        <v>17-JUN</v>
      </c>
      <c r="K35" t="str">
        <f t="shared" si="1"/>
        <v>IN</v>
      </c>
      <c r="L35" t="str">
        <f t="shared" si="2"/>
        <v>HP Laptop</v>
      </c>
    </row>
    <row r="36" spans="1:12">
      <c r="I36" s="11" t="s">
        <v>114</v>
      </c>
      <c r="J36" t="str">
        <f t="shared" si="0"/>
        <v>09-JUL</v>
      </c>
      <c r="K36" t="str">
        <f t="shared" si="1"/>
        <v>FR</v>
      </c>
      <c r="L36" t="str">
        <f t="shared" si="2"/>
        <v>Casio Watch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6035-FC20-4294-AF2E-A9A4E8B676B7}">
  <dimension ref="A1:F35"/>
  <sheetViews>
    <sheetView workbookViewId="0">
      <selection sqref="A1:F35"/>
    </sheetView>
  </sheetViews>
  <sheetFormatPr defaultRowHeight="15"/>
  <cols>
    <col min="1" max="1" width="11.140625" style="24" bestFit="1" customWidth="1"/>
    <col min="4" max="4" width="9.42578125" style="20" bestFit="1" customWidth="1"/>
  </cols>
  <sheetData>
    <row r="1" spans="1:6">
      <c r="A1" s="21" t="s">
        <v>19</v>
      </c>
      <c r="B1" s="10" t="s">
        <v>20</v>
      </c>
      <c r="C1" s="10" t="s">
        <v>21</v>
      </c>
      <c r="D1" s="17" t="s">
        <v>22</v>
      </c>
      <c r="E1" s="10" t="s">
        <v>23</v>
      </c>
      <c r="F1" s="10" t="s">
        <v>24</v>
      </c>
    </row>
    <row r="2" spans="1:6">
      <c r="A2" s="22" t="s">
        <v>25</v>
      </c>
      <c r="B2" s="3" t="s">
        <v>61</v>
      </c>
      <c r="C2" s="3" t="s">
        <v>27</v>
      </c>
      <c r="D2" s="18">
        <v>1000</v>
      </c>
      <c r="E2" s="3">
        <v>30</v>
      </c>
      <c r="F2" s="3" t="s">
        <v>28</v>
      </c>
    </row>
    <row r="3" spans="1:6">
      <c r="A3" s="23" t="s">
        <v>29</v>
      </c>
      <c r="B3" s="11" t="s">
        <v>30</v>
      </c>
      <c r="C3" s="11" t="s">
        <v>31</v>
      </c>
      <c r="D3" s="19">
        <v>80</v>
      </c>
      <c r="E3" s="11">
        <v>15</v>
      </c>
      <c r="F3" s="11" t="s">
        <v>32</v>
      </c>
    </row>
    <row r="4" spans="1:6">
      <c r="A4" s="22" t="s">
        <v>33</v>
      </c>
      <c r="B4" s="3" t="s">
        <v>34</v>
      </c>
      <c r="C4" s="3" t="s">
        <v>35</v>
      </c>
      <c r="D4" s="18">
        <v>130</v>
      </c>
      <c r="E4" s="3">
        <v>40</v>
      </c>
      <c r="F4" s="3" t="s">
        <v>36</v>
      </c>
    </row>
    <row r="5" spans="1:6">
      <c r="A5" s="23" t="s">
        <v>37</v>
      </c>
      <c r="B5" s="11" t="s">
        <v>97</v>
      </c>
      <c r="C5" s="11" t="s">
        <v>39</v>
      </c>
      <c r="D5" s="19">
        <v>900</v>
      </c>
      <c r="E5" s="11">
        <v>25</v>
      </c>
      <c r="F5" s="11" t="s">
        <v>28</v>
      </c>
    </row>
    <row r="6" spans="1:6">
      <c r="A6" s="22" t="s">
        <v>40</v>
      </c>
      <c r="B6" s="3" t="s">
        <v>41</v>
      </c>
      <c r="C6" s="3" t="s">
        <v>42</v>
      </c>
      <c r="D6" s="18">
        <v>70</v>
      </c>
      <c r="E6" s="3">
        <v>20</v>
      </c>
      <c r="F6" s="3" t="s">
        <v>32</v>
      </c>
    </row>
    <row r="7" spans="1:6">
      <c r="A7" s="23" t="s">
        <v>43</v>
      </c>
      <c r="B7" s="11" t="s">
        <v>44</v>
      </c>
      <c r="C7" s="11" t="s">
        <v>45</v>
      </c>
      <c r="D7" s="19">
        <v>309.35000000000002</v>
      </c>
      <c r="E7" s="11">
        <v>45</v>
      </c>
      <c r="F7" s="11" t="s">
        <v>28</v>
      </c>
    </row>
    <row r="8" spans="1:6">
      <c r="A8" s="22" t="s">
        <v>47</v>
      </c>
      <c r="B8" s="3" t="s">
        <v>128</v>
      </c>
      <c r="C8" s="3" t="s">
        <v>49</v>
      </c>
      <c r="D8" s="18">
        <v>30</v>
      </c>
      <c r="E8" s="3">
        <v>5</v>
      </c>
      <c r="F8" s="3" t="s">
        <v>32</v>
      </c>
    </row>
    <row r="9" spans="1:6">
      <c r="A9" s="23" t="s">
        <v>50</v>
      </c>
      <c r="B9" s="11" t="s">
        <v>51</v>
      </c>
      <c r="C9" s="11" t="s">
        <v>52</v>
      </c>
      <c r="D9" s="19">
        <v>90</v>
      </c>
      <c r="E9" s="11">
        <v>35</v>
      </c>
      <c r="F9" s="11" t="s">
        <v>36</v>
      </c>
    </row>
    <row r="10" spans="1:6">
      <c r="A10" s="22" t="s">
        <v>53</v>
      </c>
      <c r="B10" s="3" t="s">
        <v>54</v>
      </c>
      <c r="C10" s="3" t="s">
        <v>55</v>
      </c>
      <c r="D10" s="18">
        <v>500</v>
      </c>
      <c r="E10" s="3">
        <v>50</v>
      </c>
      <c r="F10" s="3" t="s">
        <v>28</v>
      </c>
    </row>
    <row r="11" spans="1:6">
      <c r="A11" s="23" t="s">
        <v>56</v>
      </c>
      <c r="B11" s="11" t="s">
        <v>57</v>
      </c>
      <c r="C11" s="11" t="s">
        <v>58</v>
      </c>
      <c r="D11" s="19">
        <v>130</v>
      </c>
      <c r="E11" s="11">
        <v>10</v>
      </c>
      <c r="F11" s="11" t="s">
        <v>59</v>
      </c>
    </row>
    <row r="12" spans="1:6">
      <c r="A12" s="22" t="s">
        <v>60</v>
      </c>
      <c r="B12" s="3" t="s">
        <v>61</v>
      </c>
      <c r="C12" s="3" t="s">
        <v>62</v>
      </c>
      <c r="D12" s="18">
        <v>950</v>
      </c>
      <c r="E12" s="3">
        <v>25</v>
      </c>
      <c r="F12" s="3" t="s">
        <v>28</v>
      </c>
    </row>
    <row r="13" spans="1:6">
      <c r="A13" s="23" t="s">
        <v>63</v>
      </c>
      <c r="B13" s="11" t="s">
        <v>30</v>
      </c>
      <c r="C13" s="11" t="s">
        <v>49</v>
      </c>
      <c r="D13" s="19">
        <v>90</v>
      </c>
      <c r="E13" s="11">
        <v>40</v>
      </c>
      <c r="F13" s="11" t="s">
        <v>32</v>
      </c>
    </row>
    <row r="14" spans="1:6">
      <c r="A14" s="22" t="s">
        <v>65</v>
      </c>
      <c r="B14" s="3" t="s">
        <v>34</v>
      </c>
      <c r="C14" s="3" t="s">
        <v>66</v>
      </c>
      <c r="D14" s="18">
        <v>120</v>
      </c>
      <c r="E14" s="3">
        <v>35</v>
      </c>
      <c r="F14" s="3" t="s">
        <v>36</v>
      </c>
    </row>
    <row r="15" spans="1:6">
      <c r="A15" s="23" t="s">
        <v>67</v>
      </c>
      <c r="B15" s="11" t="s">
        <v>68</v>
      </c>
      <c r="C15" s="11" t="s">
        <v>69</v>
      </c>
      <c r="D15" s="19">
        <v>150</v>
      </c>
      <c r="E15" s="11">
        <v>15</v>
      </c>
      <c r="F15" s="11" t="s">
        <v>28</v>
      </c>
    </row>
    <row r="16" spans="1:6">
      <c r="A16" s="22" t="s">
        <v>70</v>
      </c>
      <c r="B16" s="3" t="s">
        <v>44</v>
      </c>
      <c r="C16" s="3" t="s">
        <v>72</v>
      </c>
      <c r="D16" s="18">
        <v>250</v>
      </c>
      <c r="E16" s="3">
        <v>20</v>
      </c>
      <c r="F16" s="3" t="s">
        <v>28</v>
      </c>
    </row>
    <row r="17" spans="1:6">
      <c r="A17" s="23" t="s">
        <v>73</v>
      </c>
      <c r="B17" s="11" t="s">
        <v>74</v>
      </c>
      <c r="C17" s="11" t="s">
        <v>75</v>
      </c>
      <c r="D17" s="19">
        <v>50</v>
      </c>
      <c r="E17" s="11">
        <v>35</v>
      </c>
      <c r="F17" s="11" t="s">
        <v>76</v>
      </c>
    </row>
    <row r="18" spans="1:6">
      <c r="A18" s="22" t="s">
        <v>77</v>
      </c>
      <c r="B18" s="3" t="s">
        <v>68</v>
      </c>
      <c r="C18" s="3" t="s">
        <v>78</v>
      </c>
      <c r="D18" s="18">
        <v>160</v>
      </c>
      <c r="E18" s="3">
        <v>15</v>
      </c>
      <c r="F18" s="3" t="s">
        <v>28</v>
      </c>
    </row>
    <row r="19" spans="1:6">
      <c r="A19" s="23" t="s">
        <v>79</v>
      </c>
      <c r="B19" s="11" t="s">
        <v>61</v>
      </c>
      <c r="C19" s="11" t="s">
        <v>80</v>
      </c>
      <c r="D19" s="19">
        <v>980</v>
      </c>
      <c r="E19" s="11">
        <v>10</v>
      </c>
      <c r="F19" s="11" t="s">
        <v>28</v>
      </c>
    </row>
    <row r="20" spans="1:6">
      <c r="A20" s="22" t="s">
        <v>81</v>
      </c>
      <c r="B20" s="3" t="s">
        <v>82</v>
      </c>
      <c r="C20" s="3" t="s">
        <v>83</v>
      </c>
      <c r="D20" s="18">
        <v>150</v>
      </c>
      <c r="E20" s="3">
        <v>15</v>
      </c>
      <c r="F20" s="3" t="s">
        <v>32</v>
      </c>
    </row>
    <row r="21" spans="1:6">
      <c r="A21" s="23" t="s">
        <v>84</v>
      </c>
      <c r="B21" s="11" t="s">
        <v>85</v>
      </c>
      <c r="C21" s="11" t="s">
        <v>86</v>
      </c>
      <c r="D21" s="19">
        <v>309.35000000000002</v>
      </c>
      <c r="E21" s="11">
        <v>10</v>
      </c>
      <c r="F21" s="11" t="s">
        <v>59</v>
      </c>
    </row>
    <row r="22" spans="1:6">
      <c r="A22" s="22" t="s">
        <v>87</v>
      </c>
      <c r="B22" s="3" t="s">
        <v>88</v>
      </c>
      <c r="C22" s="3" t="s">
        <v>89</v>
      </c>
      <c r="D22" s="18">
        <v>700</v>
      </c>
      <c r="E22" s="3">
        <v>50</v>
      </c>
      <c r="F22" s="3" t="s">
        <v>28</v>
      </c>
    </row>
    <row r="23" spans="1:6">
      <c r="A23" s="23" t="s">
        <v>90</v>
      </c>
      <c r="B23" s="11" t="s">
        <v>91</v>
      </c>
      <c r="C23" s="11" t="s">
        <v>92</v>
      </c>
      <c r="D23" s="19">
        <v>80</v>
      </c>
      <c r="E23" s="11">
        <v>20</v>
      </c>
      <c r="F23" s="11" t="s">
        <v>36</v>
      </c>
    </row>
    <row r="24" spans="1:6">
      <c r="A24" s="22" t="s">
        <v>93</v>
      </c>
      <c r="B24" s="3" t="s">
        <v>94</v>
      </c>
      <c r="C24" s="3" t="s">
        <v>95</v>
      </c>
      <c r="D24" s="18">
        <v>150</v>
      </c>
      <c r="E24" s="3">
        <v>30</v>
      </c>
      <c r="F24" s="3" t="s">
        <v>28</v>
      </c>
    </row>
    <row r="25" spans="1:6">
      <c r="A25" s="23" t="s">
        <v>73</v>
      </c>
      <c r="B25" s="11" t="s">
        <v>74</v>
      </c>
      <c r="C25" s="11" t="s">
        <v>75</v>
      </c>
      <c r="D25" s="19">
        <v>50</v>
      </c>
      <c r="E25" s="11">
        <v>35</v>
      </c>
      <c r="F25" s="11" t="s">
        <v>76</v>
      </c>
    </row>
    <row r="26" spans="1:6">
      <c r="A26" s="22" t="s">
        <v>96</v>
      </c>
      <c r="B26" s="3" t="s">
        <v>97</v>
      </c>
      <c r="C26" s="3" t="s">
        <v>98</v>
      </c>
      <c r="D26" s="18">
        <v>800</v>
      </c>
      <c r="E26" s="3">
        <v>45</v>
      </c>
      <c r="F26" s="3" t="s">
        <v>28</v>
      </c>
    </row>
    <row r="27" spans="1:6">
      <c r="A27" s="23" t="s">
        <v>99</v>
      </c>
      <c r="B27" s="11" t="s">
        <v>82</v>
      </c>
      <c r="C27" s="11" t="s">
        <v>100</v>
      </c>
      <c r="D27" s="19">
        <v>309.35000000000002</v>
      </c>
      <c r="E27" s="11">
        <v>25</v>
      </c>
      <c r="F27" s="11" t="s">
        <v>32</v>
      </c>
    </row>
    <row r="28" spans="1:6">
      <c r="A28" s="22" t="s">
        <v>101</v>
      </c>
      <c r="B28" s="3" t="s">
        <v>51</v>
      </c>
      <c r="C28" s="3" t="s">
        <v>102</v>
      </c>
      <c r="D28" s="18">
        <v>400</v>
      </c>
      <c r="E28" s="3">
        <v>40</v>
      </c>
      <c r="F28" s="3" t="s">
        <v>36</v>
      </c>
    </row>
    <row r="29" spans="1:6">
      <c r="A29" s="23" t="s">
        <v>70</v>
      </c>
      <c r="B29" s="11" t="s">
        <v>44</v>
      </c>
      <c r="C29" s="11" t="s">
        <v>72</v>
      </c>
      <c r="D29" s="19">
        <v>250</v>
      </c>
      <c r="E29" s="11">
        <v>20</v>
      </c>
      <c r="F29" s="11" t="s">
        <v>28</v>
      </c>
    </row>
    <row r="30" spans="1:6">
      <c r="A30" s="22" t="s">
        <v>103</v>
      </c>
      <c r="B30" s="3" t="s">
        <v>104</v>
      </c>
      <c r="C30" s="3" t="s">
        <v>105</v>
      </c>
      <c r="D30" s="18">
        <v>60</v>
      </c>
      <c r="E30" s="3">
        <v>30</v>
      </c>
      <c r="F30" s="3" t="s">
        <v>32</v>
      </c>
    </row>
    <row r="31" spans="1:6">
      <c r="A31" s="23" t="s">
        <v>106</v>
      </c>
      <c r="B31" s="11" t="s">
        <v>107</v>
      </c>
      <c r="C31" s="11" t="s">
        <v>108</v>
      </c>
      <c r="D31" s="19">
        <v>40</v>
      </c>
      <c r="E31" s="11">
        <v>10</v>
      </c>
      <c r="F31" s="11" t="s">
        <v>36</v>
      </c>
    </row>
    <row r="32" spans="1:6">
      <c r="A32" s="22" t="s">
        <v>109</v>
      </c>
      <c r="B32" s="3" t="s">
        <v>94</v>
      </c>
      <c r="C32" s="3" t="s">
        <v>110</v>
      </c>
      <c r="D32" s="18">
        <v>130</v>
      </c>
      <c r="E32" s="3">
        <v>5</v>
      </c>
      <c r="F32" s="3" t="s">
        <v>28</v>
      </c>
    </row>
    <row r="33" spans="1:6">
      <c r="A33" s="23" t="s">
        <v>111</v>
      </c>
      <c r="B33" s="11" t="s">
        <v>112</v>
      </c>
      <c r="C33" s="11" t="s">
        <v>113</v>
      </c>
      <c r="D33" s="19">
        <v>50</v>
      </c>
      <c r="E33" s="11">
        <v>50</v>
      </c>
      <c r="F33" s="11" t="s">
        <v>32</v>
      </c>
    </row>
    <row r="34" spans="1:6">
      <c r="A34" s="22" t="s">
        <v>60</v>
      </c>
      <c r="B34" s="3" t="s">
        <v>61</v>
      </c>
      <c r="C34" s="3" t="s">
        <v>62</v>
      </c>
      <c r="D34" s="18">
        <v>950</v>
      </c>
      <c r="E34" s="3">
        <v>25</v>
      </c>
      <c r="F34" s="3" t="s">
        <v>28</v>
      </c>
    </row>
    <row r="35" spans="1:6">
      <c r="A35" s="23" t="s">
        <v>114</v>
      </c>
      <c r="B35" s="11" t="s">
        <v>115</v>
      </c>
      <c r="C35" s="11" t="s">
        <v>116</v>
      </c>
      <c r="D35" s="19">
        <v>100</v>
      </c>
      <c r="E35" s="11">
        <v>20</v>
      </c>
      <c r="F35" s="11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C045-F06F-4033-9380-EAC0A44833B6}">
  <dimension ref="A1:F35"/>
  <sheetViews>
    <sheetView tabSelected="1" workbookViewId="0">
      <selection activeCell="N4" sqref="N4"/>
    </sheetView>
  </sheetViews>
  <sheetFormatPr defaultRowHeight="15"/>
  <cols>
    <col min="1" max="1" width="12.85546875" bestFit="1" customWidth="1"/>
    <col min="2" max="2" width="16.28515625" bestFit="1" customWidth="1"/>
    <col min="3" max="3" width="14.5703125" bestFit="1" customWidth="1"/>
    <col min="4" max="4" width="10.28515625" bestFit="1" customWidth="1"/>
    <col min="5" max="5" width="11.28515625" bestFit="1" customWidth="1"/>
    <col min="6" max="6" width="11.42578125" bestFit="1" customWidth="1"/>
  </cols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 t="s">
        <v>25</v>
      </c>
      <c r="B2" t="s">
        <v>61</v>
      </c>
      <c r="C2" t="s">
        <v>27</v>
      </c>
      <c r="D2">
        <v>1000</v>
      </c>
      <c r="E2">
        <v>30</v>
      </c>
      <c r="F2" t="s">
        <v>28</v>
      </c>
    </row>
    <row r="3" spans="1:6">
      <c r="A3" t="s">
        <v>29</v>
      </c>
      <c r="B3" t="s">
        <v>30</v>
      </c>
      <c r="C3" t="s">
        <v>31</v>
      </c>
      <c r="D3">
        <v>80</v>
      </c>
      <c r="E3">
        <v>15</v>
      </c>
      <c r="F3" t="s">
        <v>32</v>
      </c>
    </row>
    <row r="4" spans="1:6">
      <c r="A4" t="s">
        <v>33</v>
      </c>
      <c r="B4" t="s">
        <v>34</v>
      </c>
      <c r="C4" t="s">
        <v>35</v>
      </c>
      <c r="D4">
        <v>130</v>
      </c>
      <c r="E4">
        <v>40</v>
      </c>
      <c r="F4" t="s">
        <v>36</v>
      </c>
    </row>
    <row r="5" spans="1:6">
      <c r="A5" t="s">
        <v>37</v>
      </c>
      <c r="B5" t="s">
        <v>97</v>
      </c>
      <c r="C5" t="s">
        <v>39</v>
      </c>
      <c r="D5">
        <v>900</v>
      </c>
      <c r="E5">
        <v>25</v>
      </c>
      <c r="F5" t="s">
        <v>28</v>
      </c>
    </row>
    <row r="6" spans="1:6">
      <c r="A6" t="s">
        <v>40</v>
      </c>
      <c r="B6" t="s">
        <v>41</v>
      </c>
      <c r="C6" t="s">
        <v>42</v>
      </c>
      <c r="D6">
        <v>70</v>
      </c>
      <c r="E6">
        <v>20</v>
      </c>
      <c r="F6" t="s">
        <v>32</v>
      </c>
    </row>
    <row r="7" spans="1:6">
      <c r="A7" t="s">
        <v>43</v>
      </c>
      <c r="B7" t="s">
        <v>44</v>
      </c>
      <c r="C7" t="s">
        <v>45</v>
      </c>
      <c r="D7">
        <v>309.35000000000002</v>
      </c>
      <c r="E7">
        <v>45</v>
      </c>
      <c r="F7" t="s">
        <v>28</v>
      </c>
    </row>
    <row r="8" spans="1:6">
      <c r="A8" t="s">
        <v>47</v>
      </c>
      <c r="B8" t="s">
        <v>128</v>
      </c>
      <c r="C8" t="s">
        <v>49</v>
      </c>
      <c r="D8">
        <v>30</v>
      </c>
      <c r="E8">
        <v>5</v>
      </c>
      <c r="F8" t="s">
        <v>32</v>
      </c>
    </row>
    <row r="9" spans="1:6">
      <c r="A9" t="s">
        <v>50</v>
      </c>
      <c r="B9" t="s">
        <v>51</v>
      </c>
      <c r="C9" t="s">
        <v>52</v>
      </c>
      <c r="D9">
        <v>90</v>
      </c>
      <c r="E9">
        <v>35</v>
      </c>
      <c r="F9" t="s">
        <v>36</v>
      </c>
    </row>
    <row r="10" spans="1:6">
      <c r="A10" t="s">
        <v>53</v>
      </c>
      <c r="B10" t="s">
        <v>54</v>
      </c>
      <c r="C10" t="s">
        <v>55</v>
      </c>
      <c r="D10">
        <v>500</v>
      </c>
      <c r="E10">
        <v>50</v>
      </c>
      <c r="F10" t="s">
        <v>28</v>
      </c>
    </row>
    <row r="11" spans="1:6">
      <c r="A11" t="s">
        <v>56</v>
      </c>
      <c r="B11" t="s">
        <v>57</v>
      </c>
      <c r="C11" t="s">
        <v>58</v>
      </c>
      <c r="D11">
        <v>130</v>
      </c>
      <c r="E11">
        <v>10</v>
      </c>
      <c r="F11" t="s">
        <v>59</v>
      </c>
    </row>
    <row r="12" spans="1:6">
      <c r="A12" t="s">
        <v>60</v>
      </c>
      <c r="B12" t="s">
        <v>61</v>
      </c>
      <c r="C12" t="s">
        <v>62</v>
      </c>
      <c r="D12">
        <v>950</v>
      </c>
      <c r="E12">
        <v>25</v>
      </c>
      <c r="F12" t="s">
        <v>28</v>
      </c>
    </row>
    <row r="13" spans="1:6">
      <c r="A13" t="s">
        <v>63</v>
      </c>
      <c r="B13" t="s">
        <v>30</v>
      </c>
      <c r="C13" t="s">
        <v>49</v>
      </c>
      <c r="D13">
        <v>90</v>
      </c>
      <c r="E13">
        <v>40</v>
      </c>
      <c r="F13" t="s">
        <v>32</v>
      </c>
    </row>
    <row r="14" spans="1:6">
      <c r="A14" t="s">
        <v>65</v>
      </c>
      <c r="B14" t="s">
        <v>34</v>
      </c>
      <c r="C14" t="s">
        <v>66</v>
      </c>
      <c r="D14">
        <v>120</v>
      </c>
      <c r="E14">
        <v>35</v>
      </c>
      <c r="F14" t="s">
        <v>36</v>
      </c>
    </row>
    <row r="15" spans="1:6">
      <c r="A15" t="s">
        <v>67</v>
      </c>
      <c r="B15" t="s">
        <v>68</v>
      </c>
      <c r="C15" t="s">
        <v>69</v>
      </c>
      <c r="D15">
        <v>150</v>
      </c>
      <c r="E15">
        <v>15</v>
      </c>
      <c r="F15" t="s">
        <v>28</v>
      </c>
    </row>
    <row r="16" spans="1:6">
      <c r="A16" t="s">
        <v>70</v>
      </c>
      <c r="B16" t="s">
        <v>44</v>
      </c>
      <c r="C16" t="s">
        <v>72</v>
      </c>
      <c r="D16">
        <v>250</v>
      </c>
      <c r="E16">
        <v>20</v>
      </c>
      <c r="F16" t="s">
        <v>28</v>
      </c>
    </row>
    <row r="17" spans="1:6">
      <c r="A17" t="s">
        <v>73</v>
      </c>
      <c r="B17" t="s">
        <v>74</v>
      </c>
      <c r="C17" t="s">
        <v>75</v>
      </c>
      <c r="D17">
        <v>50</v>
      </c>
      <c r="E17">
        <v>35</v>
      </c>
      <c r="F17" t="s">
        <v>76</v>
      </c>
    </row>
    <row r="18" spans="1:6">
      <c r="A18" t="s">
        <v>77</v>
      </c>
      <c r="B18" t="s">
        <v>68</v>
      </c>
      <c r="C18" t="s">
        <v>78</v>
      </c>
      <c r="D18">
        <v>160</v>
      </c>
      <c r="E18">
        <v>15</v>
      </c>
      <c r="F18" t="s">
        <v>28</v>
      </c>
    </row>
    <row r="19" spans="1:6">
      <c r="A19" t="s">
        <v>79</v>
      </c>
      <c r="B19" t="s">
        <v>61</v>
      </c>
      <c r="C19" t="s">
        <v>80</v>
      </c>
      <c r="D19">
        <v>980</v>
      </c>
      <c r="E19">
        <v>10</v>
      </c>
      <c r="F19" t="s">
        <v>28</v>
      </c>
    </row>
    <row r="20" spans="1:6">
      <c r="A20" t="s">
        <v>81</v>
      </c>
      <c r="B20" t="s">
        <v>82</v>
      </c>
      <c r="C20" t="s">
        <v>83</v>
      </c>
      <c r="D20">
        <v>150</v>
      </c>
      <c r="E20">
        <v>15</v>
      </c>
      <c r="F20" t="s">
        <v>32</v>
      </c>
    </row>
    <row r="21" spans="1:6">
      <c r="A21" t="s">
        <v>84</v>
      </c>
      <c r="B21" t="s">
        <v>85</v>
      </c>
      <c r="C21" t="s">
        <v>86</v>
      </c>
      <c r="D21">
        <v>309.35000000000002</v>
      </c>
      <c r="E21">
        <v>10</v>
      </c>
      <c r="F21" t="s">
        <v>59</v>
      </c>
    </row>
    <row r="22" spans="1:6">
      <c r="A22" t="s">
        <v>87</v>
      </c>
      <c r="B22" t="s">
        <v>88</v>
      </c>
      <c r="C22" t="s">
        <v>89</v>
      </c>
      <c r="D22">
        <v>700</v>
      </c>
      <c r="E22">
        <v>50</v>
      </c>
      <c r="F22" t="s">
        <v>28</v>
      </c>
    </row>
    <row r="23" spans="1:6">
      <c r="A23" t="s">
        <v>90</v>
      </c>
      <c r="B23" t="s">
        <v>91</v>
      </c>
      <c r="C23" t="s">
        <v>92</v>
      </c>
      <c r="D23">
        <v>80</v>
      </c>
      <c r="E23">
        <v>20</v>
      </c>
      <c r="F23" t="s">
        <v>36</v>
      </c>
    </row>
    <row r="24" spans="1:6">
      <c r="A24" t="s">
        <v>93</v>
      </c>
      <c r="B24" t="s">
        <v>94</v>
      </c>
      <c r="C24" t="s">
        <v>95</v>
      </c>
      <c r="D24">
        <v>150</v>
      </c>
      <c r="E24">
        <v>30</v>
      </c>
      <c r="F24" t="s">
        <v>28</v>
      </c>
    </row>
    <row r="25" spans="1:6">
      <c r="A25" t="s">
        <v>73</v>
      </c>
      <c r="B25" t="s">
        <v>74</v>
      </c>
      <c r="C25" t="s">
        <v>75</v>
      </c>
      <c r="D25">
        <v>50</v>
      </c>
      <c r="E25">
        <v>35</v>
      </c>
      <c r="F25" t="s">
        <v>76</v>
      </c>
    </row>
    <row r="26" spans="1:6">
      <c r="A26" t="s">
        <v>96</v>
      </c>
      <c r="B26" t="s">
        <v>97</v>
      </c>
      <c r="C26" t="s">
        <v>98</v>
      </c>
      <c r="D26">
        <v>800</v>
      </c>
      <c r="E26">
        <v>45</v>
      </c>
      <c r="F26" t="s">
        <v>28</v>
      </c>
    </row>
    <row r="27" spans="1:6">
      <c r="A27" t="s">
        <v>99</v>
      </c>
      <c r="B27" t="s">
        <v>82</v>
      </c>
      <c r="C27" t="s">
        <v>100</v>
      </c>
      <c r="D27">
        <v>309.35000000000002</v>
      </c>
      <c r="E27">
        <v>25</v>
      </c>
      <c r="F27" t="s">
        <v>32</v>
      </c>
    </row>
    <row r="28" spans="1:6">
      <c r="A28" t="s">
        <v>101</v>
      </c>
      <c r="B28" t="s">
        <v>51</v>
      </c>
      <c r="C28" t="s">
        <v>102</v>
      </c>
      <c r="D28">
        <v>400</v>
      </c>
      <c r="E28">
        <v>40</v>
      </c>
      <c r="F28" t="s">
        <v>36</v>
      </c>
    </row>
    <row r="29" spans="1:6">
      <c r="A29" t="s">
        <v>70</v>
      </c>
      <c r="B29" t="s">
        <v>44</v>
      </c>
      <c r="C29" t="s">
        <v>72</v>
      </c>
      <c r="D29">
        <v>250</v>
      </c>
      <c r="E29">
        <v>20</v>
      </c>
      <c r="F29" t="s">
        <v>28</v>
      </c>
    </row>
    <row r="30" spans="1:6">
      <c r="A30" t="s">
        <v>103</v>
      </c>
      <c r="B30" t="s">
        <v>104</v>
      </c>
      <c r="C30" t="s">
        <v>105</v>
      </c>
      <c r="D30">
        <v>60</v>
      </c>
      <c r="E30">
        <v>30</v>
      </c>
      <c r="F30" t="s">
        <v>32</v>
      </c>
    </row>
    <row r="31" spans="1:6">
      <c r="A31" t="s">
        <v>106</v>
      </c>
      <c r="B31" t="s">
        <v>107</v>
      </c>
      <c r="C31" t="s">
        <v>108</v>
      </c>
      <c r="D31">
        <v>40</v>
      </c>
      <c r="E31">
        <v>10</v>
      </c>
      <c r="F31" t="s">
        <v>36</v>
      </c>
    </row>
    <row r="32" spans="1:6">
      <c r="A32" t="s">
        <v>109</v>
      </c>
      <c r="B32" t="s">
        <v>94</v>
      </c>
      <c r="C32" t="s">
        <v>110</v>
      </c>
      <c r="D32">
        <v>130</v>
      </c>
      <c r="E32">
        <v>5</v>
      </c>
      <c r="F32" t="s">
        <v>28</v>
      </c>
    </row>
    <row r="33" spans="1:6">
      <c r="A33" t="s">
        <v>111</v>
      </c>
      <c r="B33" t="s">
        <v>112</v>
      </c>
      <c r="C33" t="s">
        <v>113</v>
      </c>
      <c r="D33">
        <v>50</v>
      </c>
      <c r="E33">
        <v>50</v>
      </c>
      <c r="F33" t="s">
        <v>32</v>
      </c>
    </row>
    <row r="34" spans="1:6">
      <c r="A34" t="s">
        <v>60</v>
      </c>
      <c r="B34" t="s">
        <v>61</v>
      </c>
      <c r="C34" t="s">
        <v>62</v>
      </c>
      <c r="D34">
        <v>950</v>
      </c>
      <c r="E34">
        <v>25</v>
      </c>
      <c r="F34" t="s">
        <v>28</v>
      </c>
    </row>
    <row r="35" spans="1:6">
      <c r="A35" t="s">
        <v>114</v>
      </c>
      <c r="B35" t="s">
        <v>115</v>
      </c>
      <c r="C35" t="s">
        <v>116</v>
      </c>
      <c r="D35">
        <v>100</v>
      </c>
      <c r="E35">
        <v>20</v>
      </c>
      <c r="F35" t="s">
        <v>76</v>
      </c>
    </row>
  </sheetData>
  <conditionalFormatting sqref="D1:D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ntainsText" dxfId="0" priority="1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2026-09-03T06:39:07Z</dcterms:created>
  <dcterms:modified xsi:type="dcterms:W3CDTF">2026-09-04T07:05:21Z</dcterms:modified>
  <cp:category/>
  <cp:contentStatus/>
</cp:coreProperties>
</file>